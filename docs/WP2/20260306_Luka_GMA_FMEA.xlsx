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heexplorationcompany.sharepoint.com/sites/ExternalArtjom-TheExporationCompany/Freigegebene Dokumente/06 - TVC Subsystem/01 - Gimbal Mount Assembly/06 - GMA Documentation/WP2/"/>
    </mc:Choice>
  </mc:AlternateContent>
  <xr:revisionPtr revIDLastSave="1817" documentId="8_{CE5E8200-FF1F-473F-9A71-88B0B0299838}" xr6:coauthVersionLast="47" xr6:coauthVersionMax="47" xr10:uidLastSave="{F2CD904D-2EF9-4FB5-8F4E-A23A1153D0B5}"/>
  <bookViews>
    <workbookView xWindow="-60" yWindow="-18120" windowWidth="29040" windowHeight="17520" xr2:uid="{00000000-000D-0000-FFFF-FFFF00000000}"/>
  </bookViews>
  <sheets>
    <sheet name="Component" sheetId="5" r:id="rId1"/>
    <sheet name="FMEA" sheetId="4" r:id="rId2"/>
    <sheet name="Cla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4" l="1"/>
  <c r="R39" i="4"/>
  <c r="S39" i="4" s="1"/>
  <c r="R40" i="4"/>
  <c r="S40" i="4" s="1"/>
  <c r="R41" i="4"/>
  <c r="S41" i="4" s="1"/>
  <c r="R42" i="4"/>
  <c r="S42" i="4" s="1"/>
  <c r="R43" i="4"/>
  <c r="S43" i="4" s="1"/>
  <c r="R44" i="4"/>
  <c r="S44" i="4" s="1"/>
  <c r="R45" i="4"/>
  <c r="S45" i="4" s="1"/>
  <c r="R46" i="4"/>
  <c r="S46" i="4" s="1"/>
  <c r="R47" i="4"/>
  <c r="S47" i="4" s="1"/>
  <c r="R48" i="4"/>
  <c r="S48" i="4" s="1"/>
  <c r="R49" i="4"/>
  <c r="S49" i="4" s="1"/>
  <c r="R50" i="4"/>
  <c r="S50" i="4" s="1"/>
  <c r="R51" i="4"/>
  <c r="R52" i="4"/>
  <c r="R53" i="4"/>
  <c r="R54" i="4"/>
  <c r="R55" i="4"/>
  <c r="R6" i="4"/>
  <c r="S6" i="4" s="1"/>
  <c r="R7" i="4"/>
  <c r="R8" i="4"/>
  <c r="S8" i="4" s="1"/>
  <c r="R9" i="4"/>
  <c r="R10" i="4"/>
  <c r="S10" i="4" s="1"/>
  <c r="R11" i="4"/>
  <c r="S11" i="4" s="1"/>
  <c r="R12" i="4"/>
  <c r="S12" i="4" s="1"/>
  <c r="R13" i="4"/>
  <c r="S13" i="4" s="1"/>
  <c r="R14" i="4"/>
  <c r="S14" i="4" s="1"/>
  <c r="R15" i="4"/>
  <c r="S15" i="4" s="1"/>
  <c r="R16" i="4"/>
  <c r="S16" i="4" s="1"/>
  <c r="R17" i="4"/>
  <c r="S17" i="4" s="1"/>
  <c r="R18" i="4"/>
  <c r="S18" i="4" s="1"/>
  <c r="R19" i="4"/>
  <c r="S19" i="4" s="1"/>
  <c r="R20" i="4"/>
  <c r="S20" i="4" s="1"/>
  <c r="R21" i="4"/>
  <c r="S21" i="4" s="1"/>
  <c r="R22" i="4"/>
  <c r="S22" i="4" s="1"/>
  <c r="R23" i="4"/>
  <c r="S23" i="4" s="1"/>
  <c r="R24" i="4"/>
  <c r="S24" i="4" s="1"/>
  <c r="R25" i="4"/>
  <c r="S25" i="4" s="1"/>
  <c r="R26" i="4"/>
  <c r="S26" i="4" s="1"/>
  <c r="R27" i="4"/>
  <c r="S27" i="4" s="1"/>
  <c r="R28" i="4"/>
  <c r="S28" i="4" s="1"/>
  <c r="R29" i="4"/>
  <c r="S29" i="4" s="1"/>
  <c r="R30" i="4"/>
  <c r="S30" i="4" s="1"/>
  <c r="R31" i="4"/>
  <c r="S31" i="4" s="1"/>
  <c r="R32" i="4"/>
  <c r="S32" i="4" s="1"/>
  <c r="R33" i="4"/>
  <c r="S33" i="4" s="1"/>
  <c r="R34" i="4"/>
  <c r="S34" i="4" s="1"/>
  <c r="R35" i="4"/>
  <c r="S35" i="4" s="1"/>
  <c r="R36" i="4"/>
  <c r="S36" i="4" s="1"/>
  <c r="R37" i="4"/>
  <c r="S37" i="4" s="1"/>
  <c r="R38" i="4"/>
  <c r="S38" i="4" s="1"/>
  <c r="T27" i="3"/>
  <c r="S23" i="3"/>
  <c r="S24" i="3" s="1"/>
  <c r="S25" i="3" s="1"/>
  <c r="S26" i="3" s="1"/>
  <c r="S18" i="3"/>
  <c r="S19" i="3" s="1"/>
  <c r="S20" i="3" s="1"/>
  <c r="S21" i="3" s="1"/>
  <c r="S22" i="3" s="1"/>
  <c r="S13" i="3"/>
  <c r="S14" i="3" s="1"/>
  <c r="S15" i="3" s="1"/>
  <c r="S16" i="3" s="1"/>
  <c r="S17" i="3" s="1"/>
  <c r="S8" i="3"/>
  <c r="S9" i="3" s="1"/>
  <c r="S10" i="3" s="1"/>
  <c r="S11" i="3" s="1"/>
  <c r="S12" i="3" s="1"/>
  <c r="R7" i="3"/>
  <c r="R12" i="3" s="1"/>
  <c r="R17" i="3" s="1"/>
  <c r="R6" i="3"/>
  <c r="R11" i="3" s="1"/>
  <c r="R5" i="3"/>
  <c r="R10" i="3" s="1"/>
  <c r="R15" i="3" s="1"/>
  <c r="R4" i="3"/>
  <c r="R9" i="3" s="1"/>
  <c r="S3" i="3"/>
  <c r="S4" i="3" s="1"/>
  <c r="R3" i="3"/>
  <c r="R8" i="3" s="1"/>
  <c r="T12" i="3" l="1"/>
  <c r="K5" i="3"/>
  <c r="K9" i="3"/>
  <c r="N6" i="3"/>
  <c r="M8" i="3"/>
  <c r="L8" i="3"/>
  <c r="M6" i="3"/>
  <c r="L9" i="3"/>
  <c r="N9" i="3"/>
  <c r="L6" i="3"/>
  <c r="K6" i="3"/>
  <c r="K8" i="3"/>
  <c r="O5" i="3"/>
  <c r="M7" i="3"/>
  <c r="N5" i="3"/>
  <c r="L7" i="3"/>
  <c r="M5" i="3"/>
  <c r="K7" i="3"/>
  <c r="M9" i="3"/>
  <c r="L5" i="3"/>
  <c r="O6" i="3"/>
  <c r="O9" i="3"/>
  <c r="S9" i="4"/>
  <c r="O8" i="3" s="1"/>
  <c r="S7" i="4"/>
  <c r="S5" i="4"/>
  <c r="O7" i="3" s="1"/>
  <c r="R16" i="3"/>
  <c r="T11" i="3"/>
  <c r="T10" i="3"/>
  <c r="S5" i="3"/>
  <c r="S6" i="3" s="1"/>
  <c r="T4" i="3"/>
  <c r="T17" i="3"/>
  <c r="R22" i="3"/>
  <c r="T22" i="3" s="1"/>
  <c r="T15" i="3"/>
  <c r="T5" i="3"/>
  <c r="R13" i="3"/>
  <c r="T8" i="3"/>
  <c r="T9" i="3"/>
  <c r="R14" i="3"/>
  <c r="T3" i="3"/>
  <c r="R20" i="3"/>
  <c r="N37" i="4" l="1"/>
  <c r="N14" i="4"/>
  <c r="N15" i="4"/>
  <c r="N47" i="4"/>
  <c r="N48" i="4"/>
  <c r="N17" i="4"/>
  <c r="N6" i="4"/>
  <c r="N22" i="4"/>
  <c r="N38" i="4"/>
  <c r="N34" i="4"/>
  <c r="N36" i="4"/>
  <c r="N25" i="4"/>
  <c r="N41" i="4"/>
  <c r="N10" i="4"/>
  <c r="N26" i="4"/>
  <c r="N50" i="4"/>
  <c r="N20" i="4"/>
  <c r="N19" i="4"/>
  <c r="N8" i="3"/>
  <c r="N7" i="3"/>
  <c r="T20" i="3"/>
  <c r="R25" i="3"/>
  <c r="T25" i="3" s="1"/>
  <c r="T13" i="3"/>
  <c r="R18" i="3"/>
  <c r="T14" i="3"/>
  <c r="R19" i="3"/>
  <c r="S7" i="3"/>
  <c r="T7" i="3" s="1"/>
  <c r="T6" i="3"/>
  <c r="N7" i="4" s="1"/>
  <c r="R21" i="3"/>
  <c r="T16" i="3"/>
  <c r="N31" i="4" s="1"/>
  <c r="N24" i="4" l="1"/>
  <c r="N33" i="4"/>
  <c r="N32" i="4"/>
  <c r="N46" i="4"/>
  <c r="N28" i="4"/>
  <c r="N12" i="4"/>
  <c r="N43" i="4"/>
  <c r="N8" i="4"/>
  <c r="N16" i="4"/>
  <c r="N27" i="4"/>
  <c r="N11" i="4"/>
  <c r="N23" i="4"/>
  <c r="N39" i="4"/>
  <c r="N42" i="4"/>
  <c r="N5" i="4"/>
  <c r="T18" i="3"/>
  <c r="R23" i="3"/>
  <c r="T23" i="3" s="1"/>
  <c r="T21" i="3"/>
  <c r="R26" i="3"/>
  <c r="T26" i="3" s="1"/>
  <c r="T19" i="3"/>
  <c r="N45" i="4" s="1"/>
  <c r="R24" i="3"/>
  <c r="T24" i="3" s="1"/>
  <c r="N44" i="4" l="1"/>
  <c r="N35" i="4"/>
  <c r="N9" i="4"/>
  <c r="N18" i="4"/>
  <c r="N21" i="4"/>
  <c r="N49" i="4"/>
  <c r="N29" i="4"/>
  <c r="N30" i="4"/>
  <c r="N40" i="4"/>
  <c r="N13" i="4"/>
  <c r="K11" i="3" s="1"/>
  <c r="K13" i="3" s="1"/>
</calcChain>
</file>

<file path=xl/sharedStrings.xml><?xml version="1.0" encoding="utf-8"?>
<sst xmlns="http://schemas.openxmlformats.org/spreadsheetml/2006/main" count="556" uniqueCount="429">
  <si>
    <t>Item Name</t>
  </si>
  <si>
    <t>Function</t>
  </si>
  <si>
    <t>Failure Mode</t>
  </si>
  <si>
    <t>Failure Causes</t>
  </si>
  <si>
    <t>Mission Phase/Op. mode</t>
  </si>
  <si>
    <t>Severity classification</t>
  </si>
  <si>
    <t xml:space="preserve">Failure Detection Method </t>
  </si>
  <si>
    <t>Compensating provisions</t>
  </si>
  <si>
    <t>Recommendations</t>
  </si>
  <si>
    <t>Remarks</t>
  </si>
  <si>
    <t>Reference no.</t>
  </si>
  <si>
    <t>Integration</t>
  </si>
  <si>
    <t>Steady State</t>
  </si>
  <si>
    <t>Start-Up</t>
  </si>
  <si>
    <t>Inspection</t>
  </si>
  <si>
    <t>Local effect on part</t>
  </si>
  <si>
    <t>Global (end) effect on component</t>
  </si>
  <si>
    <t>Probability, Severity, Criticality Synthesis</t>
  </si>
  <si>
    <t>Criticality</t>
  </si>
  <si>
    <t>Severity</t>
  </si>
  <si>
    <t>TEC-FRA-DOC-2025-01603</t>
  </si>
  <si>
    <t>Probability</t>
  </si>
  <si>
    <t>Score</t>
  </si>
  <si>
    <t>Likelihood</t>
  </si>
  <si>
    <t>Probability quantitative value</t>
  </si>
  <si>
    <t>Very Probable</t>
  </si>
  <si>
    <t>Probable</t>
  </si>
  <si>
    <t>Little Probable</t>
  </si>
  <si>
    <t>TBD</t>
  </si>
  <si>
    <t>Very Little Probable</t>
  </si>
  <si>
    <t>Extremely Little Probable</t>
  </si>
  <si>
    <t>TOTAL</t>
  </si>
  <si>
    <t>Class</t>
  </si>
  <si>
    <t>Severity Designation</t>
  </si>
  <si>
    <t>Severity Definition</t>
  </si>
  <si>
    <t>Catastrophic</t>
  </si>
  <si>
    <r>
      <t xml:space="preserve">1) </t>
    </r>
    <r>
      <rPr>
        <sz val="11"/>
        <color rgb="FF000000"/>
        <rFont val="Calibri"/>
        <family val="2"/>
        <scheme val="minor"/>
      </rPr>
      <t>Loss of life</t>
    </r>
  </si>
  <si>
    <r>
      <t xml:space="preserve">2) </t>
    </r>
    <r>
      <rPr>
        <sz val="11"/>
        <color rgb="FF000000"/>
        <rFont val="Calibri"/>
        <family val="2"/>
        <scheme val="minor"/>
      </rPr>
      <t>Life-threatening or permanently disabling injury or occupational illness</t>
    </r>
  </si>
  <si>
    <t>3) Severe detrimental environmental effects</t>
  </si>
  <si>
    <t>Critical</t>
  </si>
  <si>
    <r>
      <t xml:space="preserve">1) </t>
    </r>
    <r>
      <rPr>
        <sz val="11"/>
        <color rgb="FF000000"/>
        <rFont val="Calibri"/>
        <family val="2"/>
        <scheme val="minor"/>
      </rPr>
      <t>Temporarily disabling but not life-threatening injury, or temporary occupational illness</t>
    </r>
  </si>
  <si>
    <r>
      <t xml:space="preserve">2) </t>
    </r>
    <r>
      <rPr>
        <sz val="11"/>
        <color rgb="FF000000"/>
        <rFont val="Calibri"/>
        <family val="2"/>
        <scheme val="minor"/>
      </rPr>
      <t>Major damage to test facilities</t>
    </r>
  </si>
  <si>
    <t>3) Major detrimental environmental effects</t>
  </si>
  <si>
    <t>Major</t>
  </si>
  <si>
    <r>
      <t xml:space="preserve">1) </t>
    </r>
    <r>
      <rPr>
        <sz val="11"/>
        <color rgb="FF000000"/>
        <rFont val="Calibri"/>
        <family val="2"/>
        <scheme val="minor"/>
      </rPr>
      <t>Damage to Test Article with test fail</t>
    </r>
  </si>
  <si>
    <t>Negligible</t>
  </si>
  <si>
    <r>
      <t xml:space="preserve">1) </t>
    </r>
    <r>
      <rPr>
        <sz val="11"/>
        <color rgb="FF000000"/>
        <rFont val="Calibri"/>
        <family val="2"/>
        <scheme val="minor"/>
      </rPr>
      <t>No or negligible effects</t>
    </r>
  </si>
  <si>
    <t>S</t>
  </si>
  <si>
    <t>P</t>
  </si>
  <si>
    <t>SG</t>
  </si>
  <si>
    <t>C</t>
  </si>
  <si>
    <t>MI</t>
  </si>
  <si>
    <t>ME</t>
  </si>
  <si>
    <t>HI</t>
  </si>
  <si>
    <t>VH</t>
  </si>
  <si>
    <r>
      <t>P ≥ 10</t>
    </r>
    <r>
      <rPr>
        <vertAlign val="superscript"/>
        <sz val="11"/>
        <color rgb="FF000000"/>
        <rFont val="Calibri"/>
        <family val="2"/>
      </rPr>
      <t>-1</t>
    </r>
  </si>
  <si>
    <r>
      <t>10</t>
    </r>
    <r>
      <rPr>
        <vertAlign val="superscript"/>
        <sz val="11"/>
        <color rgb="FF000000"/>
        <rFont val="Calibri"/>
        <family val="2"/>
      </rPr>
      <t>-1</t>
    </r>
    <r>
      <rPr>
        <sz val="11"/>
        <color rgb="FF000000"/>
        <rFont val="Calibri"/>
        <family val="2"/>
      </rPr>
      <t xml:space="preserve"> &gt; P ≥ 10</t>
    </r>
    <r>
      <rPr>
        <vertAlign val="superscript"/>
        <sz val="11"/>
        <color rgb="FF000000"/>
        <rFont val="Calibri"/>
        <family val="2"/>
      </rPr>
      <t>-3</t>
    </r>
  </si>
  <si>
    <r>
      <t>10</t>
    </r>
    <r>
      <rPr>
        <vertAlign val="superscript"/>
        <sz val="11"/>
        <color rgb="FF000000"/>
        <rFont val="Calibri"/>
        <family val="2"/>
      </rPr>
      <t>-3</t>
    </r>
    <r>
      <rPr>
        <sz val="11"/>
        <color rgb="FF000000"/>
        <rFont val="Calibri"/>
        <family val="2"/>
      </rPr>
      <t xml:space="preserve"> &gt; P ≥ 10</t>
    </r>
    <r>
      <rPr>
        <vertAlign val="superscript"/>
        <sz val="11"/>
        <color rgb="FF000000"/>
        <rFont val="Calibri"/>
        <family val="2"/>
      </rPr>
      <t>-5</t>
    </r>
  </si>
  <si>
    <r>
      <t>10</t>
    </r>
    <r>
      <rPr>
        <vertAlign val="superscript"/>
        <sz val="11"/>
        <color rgb="FF000000"/>
        <rFont val="Calibri"/>
        <family val="2"/>
      </rPr>
      <t>-5</t>
    </r>
    <r>
      <rPr>
        <sz val="11"/>
        <color rgb="FF000000"/>
        <rFont val="Calibri"/>
        <family val="2"/>
      </rPr>
      <t xml:space="preserve"> &gt; P ≥ 10</t>
    </r>
    <r>
      <rPr>
        <vertAlign val="superscript"/>
        <sz val="11"/>
        <color rgb="FF000000"/>
        <rFont val="Calibri"/>
        <family val="2"/>
      </rPr>
      <t>-7</t>
    </r>
  </si>
  <si>
    <r>
      <t>P &lt; 10</t>
    </r>
    <r>
      <rPr>
        <vertAlign val="superscript"/>
        <sz val="11"/>
        <color rgb="FF000000"/>
        <rFont val="Calibri"/>
        <family val="2"/>
      </rPr>
      <t>-7</t>
    </r>
  </si>
  <si>
    <t>LO</t>
  </si>
  <si>
    <t>FAILURE MODE EFFECT ANALYSIS (FMEA)</t>
  </si>
  <si>
    <t>Fracture</t>
  </si>
  <si>
    <t>Shut Down</t>
  </si>
  <si>
    <t>Misalignment to injector head</t>
  </si>
  <si>
    <t>Assembly tolerance stack-up, improper positioning</t>
  </si>
  <si>
    <t xml:space="preserve"> Uneven interface loading
</t>
  </si>
  <si>
    <t>Incorrect bolt preload</t>
  </si>
  <si>
    <t>Torque error, friction deviation</t>
  </si>
  <si>
    <t>Reduced stiffness of gimbal mount</t>
  </si>
  <si>
    <t xml:space="preserve"> Reduced stiffness of gimbal mount
</t>
  </si>
  <si>
    <t>Loss of bolt preload at injector interface</t>
  </si>
  <si>
    <t>Differential thermal contraction during chill-down or start transient</t>
  </si>
  <si>
    <t>Reduced clamping force at joint</t>
  </si>
  <si>
    <t>Joint slip at injector interface</t>
  </si>
  <si>
    <t>Insufficient preload combined with ignition load transient</t>
  </si>
  <si>
    <t>Yielding / permanent deformation</t>
  </si>
  <si>
    <t>Gimbal axis offset, misalignment, reduced load margin</t>
  </si>
  <si>
    <t>Fatigue crack initiation</t>
  </si>
  <si>
    <t>Cyclic loads from thrust vectoring and engine vibration</t>
  </si>
  <si>
    <t>Crack formation in high-stress region</t>
  </si>
  <si>
    <t>Progressive loss of structural margin</t>
  </si>
  <si>
    <t xml:space="preserve">High oscillatory loads transmitted through pin </t>
  </si>
  <si>
    <t>Local crushing or ovalization of contact region</t>
  </si>
  <si>
    <t xml:space="preserve">Loss of geometric alignment </t>
  </si>
  <si>
    <t>Pin–hole misfit due to thermal misestimation</t>
  </si>
  <si>
    <t>Incorrect prediction of thermal contraction of support vs. pin</t>
  </si>
  <si>
    <t>Increased contact stress, local yielding, or micro-motion at hole</t>
  </si>
  <si>
    <t>Accelerated fatigue, risk of gimbal axis misalignment</t>
  </si>
  <si>
    <t>Micro-crack propagation</t>
  </si>
  <si>
    <t>Residual stress from previous operation</t>
  </si>
  <si>
    <t>Crack growth in fillets or other notches</t>
  </si>
  <si>
    <t>Accelerated fatigue risk for next operation phase</t>
  </si>
  <si>
    <t>Fasteners inaccessible</t>
  </si>
  <si>
    <t>Tight packaging around injector head or gimbal assembly</t>
  </si>
  <si>
    <t>Bolts cannot be removed for inspection</t>
  </si>
  <si>
    <t>Interface cannot be reviewed, potential hidden damage remains</t>
  </si>
  <si>
    <t>Misalignment not measurable</t>
  </si>
  <si>
    <t>Lack of clear reference points or measurement tools</t>
  </si>
  <si>
    <t>Small gimbal axis offsets remain unverified</t>
  </si>
  <si>
    <t>Pin and bearing condition unknown</t>
  </si>
  <si>
    <t>Limited access or visibility</t>
  </si>
  <si>
    <t>Undetected wear or deformation</t>
  </si>
  <si>
    <t>Altered load path or reduced support stiffness during next operation</t>
  </si>
  <si>
    <t>Joint slip under load or overtorqued bolt</t>
  </si>
  <si>
    <t>PIN</t>
  </si>
  <si>
    <t>Incorrect fit</t>
  </si>
  <si>
    <t>Excessive clearance or interference fit</t>
  </si>
  <si>
    <t>Gimbal axis misalignment, uneven load transfer</t>
  </si>
  <si>
    <t>Plastic deformation</t>
  </si>
  <si>
    <t>Manufacturing tolerance stack-up, improper analysis</t>
  </si>
  <si>
    <t>Peak transient thrust and dynamic loads exceeding yield</t>
  </si>
  <si>
    <t>Potential gimbal axis offset, reduced margin</t>
  </si>
  <si>
    <t>Localized bending or indentation on edges</t>
  </si>
  <si>
    <t>Joint slip / micro-movement</t>
  </si>
  <si>
    <t>Insufficient preload, thermal mismatch</t>
  </si>
  <si>
    <t>Wear or galling</t>
  </si>
  <si>
    <t>Accessibility limitations</t>
  </si>
  <si>
    <t>Tight assembly, obstruction by other components</t>
  </si>
  <si>
    <t>Incomplete visual or NDT coverage</t>
  </si>
  <si>
    <t>Undetected cracks or wear</t>
  </si>
  <si>
    <t>Wear / fretting</t>
  </si>
  <si>
    <t>Material loss</t>
  </si>
  <si>
    <t>Increased clearance, reduced stiffness</t>
  </si>
  <si>
    <t>Galling</t>
  </si>
  <si>
    <t>Micro-motion between pin and bore interfaces in hard-soft material condition</t>
  </si>
  <si>
    <t>Adhesive bonding of mating materials in hard-hard material pairing condition</t>
  </si>
  <si>
    <t xml:space="preserve">Not dismountable without distruction </t>
  </si>
  <si>
    <t>No inspection and replacement of connected parts</t>
  </si>
  <si>
    <t>Cyclic bending and shear stresses from gimbal motion</t>
  </si>
  <si>
    <t>Crack formation at high-stress locations</t>
  </si>
  <si>
    <t>Progressive structural weakening, potential failure</t>
  </si>
  <si>
    <t>Load redistribution, accelerated fatigue, limited inspection capability</t>
  </si>
  <si>
    <t xml:space="preserve">Pin not dismountable </t>
  </si>
  <si>
    <t xml:space="preserve">Remaining parts not accessible </t>
  </si>
  <si>
    <t>Tight interference fit due underpredicted thermal loads</t>
  </si>
  <si>
    <t>Structural pivot and load-transfer connection, enabling precise thrust vectoring while caryying bending, shear and oscillatory loads</t>
  </si>
  <si>
    <t>Defines axial position of the bearing inner race and sets minimum distance between lower support and cardan ring to adjust thrust alignment</t>
  </si>
  <si>
    <t>Incorrect shim thickness</t>
  </si>
  <si>
    <t>Assembly error, wrong selection</t>
  </si>
  <si>
    <t>Mispositioned bearing</t>
  </si>
  <si>
    <t>Thrust misalignment</t>
  </si>
  <si>
    <t>Sudden thrust load, excessive preload</t>
  </si>
  <si>
    <t>Wear</t>
  </si>
  <si>
    <t>Surface damage, thickness reduction</t>
  </si>
  <si>
    <t>Alignment drift</t>
  </si>
  <si>
    <t>Residual deformation</t>
  </si>
  <si>
    <t>Load relaxation and peak stress history</t>
  </si>
  <si>
    <t>Permanent geometric change</t>
  </si>
  <si>
    <t>Alignment shift</t>
  </si>
  <si>
    <t>Surface damage detected</t>
  </si>
  <si>
    <t>Fretting or overload</t>
  </si>
  <si>
    <t>Visible wear or deformation</t>
  </si>
  <si>
    <t>Need for replacement before reuse</t>
  </si>
  <si>
    <t>Micro-motion due to vibration and oscillation loads or 
relative motion between lower support and pin</t>
  </si>
  <si>
    <t>Permits ngular misalignment while transferring radial loads from engine supports to cardan ring.</t>
  </si>
  <si>
    <t>Improper shim seating</t>
  </si>
  <si>
    <t>Assembly error, debris, surface damage</t>
  </si>
  <si>
    <t>Non-uniform load distribution</t>
  </si>
  <si>
    <t>Increased bearing stress</t>
  </si>
  <si>
    <t>Gimbal axis and thrust misalignment, hindered gimbal motion</t>
  </si>
  <si>
    <t>Thickness change detected</t>
  </si>
  <si>
    <t>Out-of-tolerance geometry</t>
  </si>
  <si>
    <t>Re-adjustment of thrust alignment required</t>
  </si>
  <si>
    <t>Improper bearing seating in cardan ring pocket</t>
  </si>
  <si>
    <t>Incorrect interference fit, assembly misalignment</t>
  </si>
  <si>
    <t>Non-uniform load distribution in bearing</t>
  </si>
  <si>
    <t>Reduced bearing life</t>
  </si>
  <si>
    <t>Bearing damage during installation</t>
  </si>
  <si>
    <t>Damage to PTFE liner or race surface</t>
  </si>
  <si>
    <t>Reduced articulation capability</t>
  </si>
  <si>
    <t>Local PTFE liner damage</t>
  </si>
  <si>
    <t>Local wear or liner deformation</t>
  </si>
  <si>
    <t>Increased bearing clearance, uncertain friction behavior, reduced bearing life</t>
  </si>
  <si>
    <t>Outer race micro-movement</t>
  </si>
  <si>
    <t>Insufficient fit in pocket, load spike</t>
  </si>
  <si>
    <t>Fretting between race and housing</t>
  </si>
  <si>
    <t>Reduced retention of bearing</t>
  </si>
  <si>
    <t>PTFE liner wear</t>
  </si>
  <si>
    <t>Increased internal clearance</t>
  </si>
  <si>
    <t>Reduced gimbal stiffness, bearing life, higher pin loads</t>
  </si>
  <si>
    <t>Oscillatory motion, vibration, high radial loads, improper fitting (inner/outer race)</t>
  </si>
  <si>
    <t>Bearing seizure / restricted motion</t>
  </si>
  <si>
    <t>Overload, liner degradation</t>
  </si>
  <si>
    <t>Impaired gimbal movement</t>
  </si>
  <si>
    <t>Limited rotation capability of spherical joint</t>
  </si>
  <si>
    <t>Clearance increase</t>
  </si>
  <si>
    <t>Accumulated wear during hot fire</t>
  </si>
  <si>
    <t>Increased radial play</t>
  </si>
  <si>
    <t>Increased vibration, reduced shock resistance if reused</t>
  </si>
  <si>
    <t>Excessive bearing play detected</t>
  </si>
  <si>
    <t>Liner wear or race damage</t>
  </si>
  <si>
    <t>Bearing replacement required</t>
  </si>
  <si>
    <t>Break of shim</t>
  </si>
  <si>
    <t>Preceding bear load history and wear</t>
  </si>
  <si>
    <t xml:space="preserve">Broken and loosened parts may block gimbal motion </t>
  </si>
  <si>
    <t>Bearing pocket out of tolerance</t>
  </si>
  <si>
    <t>Machining tolerance error, distortion during manufacturing</t>
  </si>
  <si>
    <t>Improper seating of spherical bearing outer race</t>
  </si>
  <si>
    <t>Misalignment of gimbal axis</t>
  </si>
  <si>
    <t>Damage to bearing pocket during assembly</t>
  </si>
  <si>
    <t>Excessive press force, improper installation tooling</t>
  </si>
  <si>
    <t>Surface damage in pocket</t>
  </si>
  <si>
    <t>Reduced bearing retention</t>
  </si>
  <si>
    <t>Structural overload</t>
  </si>
  <si>
    <t>Underestimated transient loads</t>
  </si>
  <si>
    <t>High local stress in ring arms</t>
  </si>
  <si>
    <t>Reduced structural safety margin</t>
  </si>
  <si>
    <t>Local yielding at bearing pocket</t>
  </si>
  <si>
    <t>Peak ignition thrust loads, stress concentration</t>
  </si>
  <si>
    <t>Plastic deformation around pocket</t>
  </si>
  <si>
    <t>Bearing misalignment</t>
  </si>
  <si>
    <t>Crack initiation</t>
  </si>
  <si>
    <t>Cyclic vibration loads, stress concentration near pocket or fillets</t>
  </si>
  <si>
    <t>Micro-crack formation</t>
  </si>
  <si>
    <t>Reduced structural integrity</t>
  </si>
  <si>
    <t>Fretting at bearing seat</t>
  </si>
  <si>
    <t>Micro-motion between bearing outer race and pocket</t>
  </si>
  <si>
    <t>Surface wear in pocket</t>
  </si>
  <si>
    <t>Loosening of bearing fit</t>
  </si>
  <si>
    <t>Pocket wear detected</t>
  </si>
  <si>
    <t>Fretting during operation</t>
  </si>
  <si>
    <t>Enlarged pocket diameter</t>
  </si>
  <si>
    <t>Transfers thrust loads from the spherical bearings to the orthogonal support axis and the thrust frame while allowing angular motion of the engine for thrust vector control.</t>
  </si>
  <si>
    <t>Crack detection</t>
  </si>
  <si>
    <t>Unexpected shock or fatigue damage during operation</t>
  </si>
  <si>
    <t>Not visilbe crack at pocket or gimbal ring arm</t>
  </si>
  <si>
    <t>Increase geometrical clearance for inspectability</t>
  </si>
  <si>
    <t>GIMBAL LOWER/UPPER SUPPORT</t>
  </si>
  <si>
    <t>SHIM</t>
  </si>
  <si>
    <t>BEARING</t>
  </si>
  <si>
    <t>GIMBAL RING</t>
  </si>
  <si>
    <t>Fracture during next operation, damage of hardware and test bench</t>
  </si>
  <si>
    <t>Alignment shims</t>
  </si>
  <si>
    <t>Torque verification</t>
  </si>
  <si>
    <t>Calibrated tools and assembly preocedures</t>
  </si>
  <si>
    <t>Preload margin, high-strength fasteners</t>
  </si>
  <si>
    <t>Tight tolerance control, alignment measurement during integration</t>
  </si>
  <si>
    <t>Verify preload with thermal transient model</t>
  </si>
  <si>
    <t>Dynamic load simulation</t>
  </si>
  <si>
    <t>Increased preload, friction at interface</t>
  </si>
  <si>
    <t>FEA structural verification</t>
  </si>
  <si>
    <t>LCF analysis</t>
  </si>
  <si>
    <t>Conservative stress margins</t>
  </si>
  <si>
    <t>Improve surface finish, reduce stress concentrators</t>
  </si>
  <si>
    <t>Contact stress analysis</t>
  </si>
  <si>
    <t>Hard surface materials, adequate wall thickness</t>
  </si>
  <si>
    <t>CAD and tolerance analysis</t>
  </si>
  <si>
    <t>Verify bearing seat stress limits</t>
  </si>
  <si>
    <t>Thermal-structural analysis</t>
  </si>
  <si>
    <t>Thermal margin in fit design</t>
  </si>
  <si>
    <t>Check thermal assumptions for thermal expansion</t>
  </si>
  <si>
    <t>Structural margin and inspection</t>
  </si>
  <si>
    <t>Verify crack growth margin</t>
  </si>
  <si>
    <t>Assembly review</t>
  </si>
  <si>
    <t>Access ports or removable panels</t>
  </si>
  <si>
    <t>Ensure tool access clearance</t>
  </si>
  <si>
    <t>Reference surfaces, measurement points</t>
  </si>
  <si>
    <t>Add alignment datums</t>
  </si>
  <si>
    <t>Visual inspection, NDT</t>
  </si>
  <si>
    <t>Removable covers, brackets</t>
  </si>
  <si>
    <t>Hidden wear risk</t>
  </si>
  <si>
    <t>Importance for reintegration</t>
  </si>
  <si>
    <t>Maintainability issue</t>
  </si>
  <si>
    <t>Relevant for reuse</t>
  </si>
  <si>
    <t>-</t>
  </si>
  <si>
    <t>Peak thrust case</t>
  </si>
  <si>
    <t>Driver: Cryogenic contraction and small fasteners with low material properties</t>
  </si>
  <si>
    <t>Unpredicted loading on TVC actuators and critical thrust vector accuracy</t>
  </si>
  <si>
    <t>Probability/Occurance</t>
  </si>
  <si>
    <t>Severity Number</t>
  </si>
  <si>
    <t xml:space="preserve">Criticality </t>
  </si>
  <si>
    <t>Environmental sand corn, dust etc.</t>
  </si>
  <si>
    <t>Increase of wear, friction characteristics, bearing life</t>
  </si>
  <si>
    <t>Loss of control authority during TVC actuation</t>
  </si>
  <si>
    <t>Dimensional inspection, fit check</t>
  </si>
  <si>
    <t>Tight manufacturing tolerances, inspection</t>
  </si>
  <si>
    <t>Strict quality control</t>
  </si>
  <si>
    <t>Critical for correct alignment</t>
  </si>
  <si>
    <t>Structural FEA, visual inspection</t>
  </si>
  <si>
    <t>Conservative safety factors</t>
  </si>
  <si>
    <t>Conservative safety factors, material choice</t>
  </si>
  <si>
    <t>Peak transient thrust case</t>
  </si>
  <si>
    <t>Increase cross-section, material strength, add heat treatment</t>
  </si>
  <si>
    <t>Wear inspection, vibration analysis</t>
  </si>
  <si>
    <t>Increased preload, use of wear-resistant coatings</t>
  </si>
  <si>
    <t>NDT</t>
  </si>
  <si>
    <t>Design margins, surface finish control</t>
  </si>
  <si>
    <t>Regular inspection, material certificates / tests</t>
  </si>
  <si>
    <t>Visual inspection, disassembly</t>
  </si>
  <si>
    <t>Use compatible materials, lubricants</t>
  </si>
  <si>
    <t>Avoid hard-hard contact, use coatings</t>
  </si>
  <si>
    <t>Limits maintanance options</t>
  </si>
  <si>
    <t>Wear debris, analysis</t>
  </si>
  <si>
    <t>Monitor wear, provide inspection access</t>
  </si>
  <si>
    <t>Design for dissasembly</t>
  </si>
  <si>
    <t>Provide tool access, disassembly planning</t>
  </si>
  <si>
    <t>Impacts maintanability</t>
  </si>
  <si>
    <t>Improve inspection access</t>
  </si>
  <si>
    <t>Risk of hidden damages</t>
  </si>
  <si>
    <t>Access ports or removable covers</t>
  </si>
  <si>
    <t>Dimensional inspection</t>
  </si>
  <si>
    <t>Use standardized shim kits, assembly checks</t>
  </si>
  <si>
    <t>Document and improve assembly procedures</t>
  </si>
  <si>
    <t>Visual inspection</t>
  </si>
  <si>
    <t>Clean surfaces</t>
  </si>
  <si>
    <t>Include cleaning requirements for assembly</t>
  </si>
  <si>
    <t>Margin in shim thickness</t>
  </si>
  <si>
    <t>Increase min. shim thickness margin</t>
  </si>
  <si>
    <t>Visual inspection, thicknes measurement</t>
  </si>
  <si>
    <t>Use ardened shims</t>
  </si>
  <si>
    <t>Frequent inspection, replacement if needed</t>
  </si>
  <si>
    <t>Use high yield strength material</t>
  </si>
  <si>
    <t>Visual inspection, sensors</t>
  </si>
  <si>
    <t>Use fracture-resistant material</t>
  </si>
  <si>
    <t>Inspection prior utilization</t>
  </si>
  <si>
    <t>Can cause mech. Jamming</t>
  </si>
  <si>
    <t>Inspection access, replacement possibility</t>
  </si>
  <si>
    <t>Anticipate for replacement</t>
  </si>
  <si>
    <t>Wear accumulates over cycles (reusability)</t>
  </si>
  <si>
    <t>Assembly check</t>
  </si>
  <si>
    <t>Confirm correct shim thickness</t>
  </si>
  <si>
    <t>Double-check during inspection</t>
  </si>
  <si>
    <t>Regular measurement</t>
  </si>
  <si>
    <t>Detect early deformation or wear</t>
  </si>
  <si>
    <t>Detect early deformation/wear</t>
  </si>
  <si>
    <t>Frequent inspection</t>
  </si>
  <si>
    <t>Visual inspection,sensors, cameras</t>
  </si>
  <si>
    <t>Protection</t>
  </si>
  <si>
    <t xml:space="preserve">Cover by light-weight material, bearings with sealing lips </t>
  </si>
  <si>
    <t>Dimensional inspection, press force monitoring</t>
  </si>
  <si>
    <t>Use calibrated tools, assembly procedures</t>
  </si>
  <si>
    <t>Strict assembly control</t>
  </si>
  <si>
    <t>Proper tooling, training</t>
  </si>
  <si>
    <t>Prevent damage during install</t>
  </si>
  <si>
    <t>Material selection, correct fit</t>
  </si>
  <si>
    <t>Vibration, high radial loads, improper fit</t>
  </si>
  <si>
    <t>Monitor liner condition</t>
  </si>
  <si>
    <t>Affects prediction of friction and bearing life</t>
  </si>
  <si>
    <t>correct interference fit</t>
  </si>
  <si>
    <t>Wear debris, grinding marks</t>
  </si>
  <si>
    <t>Inspect fit, adjust tolerances</t>
  </si>
  <si>
    <t>High-quality liners, correct assembly</t>
  </si>
  <si>
    <t>Replace bearings, consider in spare part policy</t>
  </si>
  <si>
    <t>Wear reduces stiffness, and lifetime, less shock resistancy</t>
  </si>
  <si>
    <t>Load limits, inspection</t>
  </si>
  <si>
    <t>Actuation test</t>
  </si>
  <si>
    <t>Replace worn bearings</t>
  </si>
  <si>
    <t>Inspect and replace at prior determined/recommended dimension for clearance</t>
  </si>
  <si>
    <t>Maintanance schedule</t>
  </si>
  <si>
    <t>Timely replacement (see 39)</t>
  </si>
  <si>
    <t>Tight machining tolerances</t>
  </si>
  <si>
    <t>Proper tooling and training</t>
  </si>
  <si>
    <t xml:space="preserve">Use calibrated press tools and auxiliary jigs </t>
  </si>
  <si>
    <t>FEA analysis</t>
  </si>
  <si>
    <t>Design to max loads, measure loads (literature references)</t>
  </si>
  <si>
    <t>To be considered as peak loads for one-time flight mission</t>
  </si>
  <si>
    <t>Visual inspection /NDT</t>
  </si>
  <si>
    <t>Improve material, improve sharp notches</t>
  </si>
  <si>
    <t>Fatigue risk</t>
  </si>
  <si>
    <t>Inspection before operation</t>
  </si>
  <si>
    <t>Improve surface finish, regular inspections</t>
  </si>
  <si>
    <t>Wear debris analysis</t>
  </si>
  <si>
    <t>Tight interference fits</t>
  </si>
  <si>
    <t>Inspect fit, reduce micro-motion</t>
  </si>
  <si>
    <t>Critical for safety of engine, test bench and spacecraft</t>
  </si>
  <si>
    <t>Affects load and heat transfer</t>
  </si>
  <si>
    <t>Monitor wear, schedule replacement</t>
  </si>
  <si>
    <t>Use wear-resistant coatings</t>
  </si>
  <si>
    <t>Artjom Lukanowski</t>
  </si>
  <si>
    <t xml:space="preserve">Date: </t>
  </si>
  <si>
    <t>07.03.2026</t>
  </si>
  <si>
    <t>Author:</t>
  </si>
  <si>
    <t>Non-Destructive Testing</t>
  </si>
  <si>
    <t>FEA</t>
  </si>
  <si>
    <t>Finite Element Analysis</t>
  </si>
  <si>
    <t>LCF</t>
  </si>
  <si>
    <t>Low-Cycle Fatigue</t>
  </si>
  <si>
    <t>CAD</t>
  </si>
  <si>
    <t>Computer Aided Engineering</t>
  </si>
  <si>
    <t>ACRONYMS</t>
  </si>
  <si>
    <t>Structural connection of injector head to the gimbal mount assembly, allowing  pivoting for thrust vectoring and  transmitting mechanical and thermal loads</t>
  </si>
  <si>
    <t>Use torque and angle/preload verification, aerospace rated (tested) joints</t>
  </si>
  <si>
    <t xml:space="preserve">Friction variability risk with standard fasteners </t>
  </si>
  <si>
    <t>Structural/thermal analysis, test</t>
  </si>
  <si>
    <t>Micro-motion, fretting at interface</t>
  </si>
  <si>
    <t>Changing load redistribution into fasteners / support</t>
  </si>
  <si>
    <t>High-friction interfaces</t>
  </si>
  <si>
    <t>High friction interfaces impacts fastener preload losses and heat transfer</t>
  </si>
  <si>
    <t>Peak thrust and transient dynamic loads underpredicted during analysis</t>
  </si>
  <si>
    <t>Plastic strain at fillets, bolt holes etc.</t>
  </si>
  <si>
    <t>Increase fillet radii, amount of notches, thickness/stiffness if margin low</t>
  </si>
  <si>
    <t>Conservative stress and deformation margins</t>
  </si>
  <si>
    <t xml:space="preserve">Driven by oscillatory loads, prediction of th./mech. Load cases and chosen fit between shaft /hub </t>
  </si>
  <si>
    <t>Bearing seat deformation</t>
  </si>
  <si>
    <t>Sensitive to temperature uncertainty, pin is more prone of failure here</t>
  </si>
  <si>
    <t>Minor</t>
  </si>
  <si>
    <t>Cumulative misalignment affecting future operation and overloading parts</t>
  </si>
  <si>
    <t>Provide inspection acces, sensor monitoring, rotation marks</t>
  </si>
  <si>
    <t>Introduce high friction surface</t>
  </si>
  <si>
    <t>High friction may limit inspection capability</t>
  </si>
  <si>
    <t>Very limited access for inspection</t>
  </si>
  <si>
    <t>GIMBAL LOWER SUPPORT</t>
  </si>
  <si>
    <t>INJECTION HEAD</t>
  </si>
  <si>
    <t>Component designation</t>
  </si>
  <si>
    <t>No.</t>
  </si>
  <si>
    <t>Name</t>
  </si>
  <si>
    <t>Harder materials, proper fit tolerances</t>
  </si>
  <si>
    <t>Causes early wear if not hardened</t>
  </si>
  <si>
    <t>Shift in thrust alignment, misplaced bearing</t>
  </si>
  <si>
    <t>Shims in hardened condition</t>
  </si>
  <si>
    <t>Monitor deformation by sensors, visualy, replace if needed</t>
  </si>
  <si>
    <t xml:space="preserve">Reusability affected, hardened shims will rather break immediately </t>
  </si>
  <si>
    <t>Plastic deformation during operation or wear</t>
  </si>
  <si>
    <t>Permanent thickness change</t>
  </si>
  <si>
    <t>Shim carries mainly axial loads, if plastic def. occurs, it will be marginal. Fracture is more severe</t>
  </si>
  <si>
    <t>Excessive press force, improper tools / tool alignment</t>
  </si>
  <si>
    <t>Loosening reduces stiffness and reusability</t>
  </si>
  <si>
    <t>Damaged PTFE liner through environment</t>
  </si>
  <si>
    <t>Bearings with seals impact the breaking torque and friction anticipation for TVC actuators</t>
  </si>
  <si>
    <t>Tests via actautors before and after each hot fire, limit loads, inspect after each operation</t>
  </si>
  <si>
    <t>Impacts gimbal motion if occures at surfaces that are in relative motion</t>
  </si>
  <si>
    <t>Increased radial/axial play</t>
  </si>
  <si>
    <t>See bearing supplier recommendations</t>
  </si>
  <si>
    <t>Critical for load transfer. Provide appropriate fixation points for jigs</t>
  </si>
  <si>
    <t>Document damage if occured</t>
  </si>
  <si>
    <t xml:space="preserve">Sensitive to peak loads. Difficult inspection without complete disassambly </t>
  </si>
  <si>
    <t>Affects retention. Reduced criticality if hardened</t>
  </si>
  <si>
    <t>Add inspection access, define inspection frequency and recommend localications to inspect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</si>
</sst>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FFFF"/>
      <name val="Garamond"/>
      <family val="1"/>
    </font>
    <font>
      <b/>
      <sz val="10"/>
      <color rgb="FF000000"/>
      <name val="Garamond"/>
      <family val="1"/>
    </font>
    <font>
      <sz val="11"/>
      <name val="Calibri"/>
      <family val="2"/>
      <scheme val="minor"/>
    </font>
    <font>
      <b/>
      <sz val="16"/>
      <color theme="0"/>
      <name val="Garamond"/>
      <family val="1"/>
    </font>
    <font>
      <b/>
      <sz val="12"/>
      <color theme="1"/>
      <name val="Garamond"/>
      <family val="1"/>
    </font>
    <font>
      <b/>
      <i/>
      <sz val="10"/>
      <color theme="0"/>
      <name val="Garamond"/>
      <family val="1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5" fillId="0" borderId="0"/>
  </cellStyleXfs>
  <cellXfs count="20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9" xfId="0" applyBorder="1"/>
    <xf numFmtId="0" fontId="0" fillId="0" borderId="0" xfId="0" applyAlignment="1">
      <alignment horizontal="center"/>
    </xf>
    <xf numFmtId="0" fontId="0" fillId="0" borderId="38" xfId="0" applyBorder="1"/>
    <xf numFmtId="0" fontId="0" fillId="2" borderId="4" xfId="0" applyFill="1" applyBorder="1"/>
    <xf numFmtId="0" fontId="0" fillId="2" borderId="4" xfId="0" applyFill="1" applyBorder="1" applyAlignment="1">
      <alignment horizontal="left"/>
    </xf>
    <xf numFmtId="0" fontId="0" fillId="2" borderId="5" xfId="0" applyFill="1" applyBorder="1"/>
    <xf numFmtId="0" fontId="0" fillId="2" borderId="0" xfId="0" applyFill="1"/>
    <xf numFmtId="0" fontId="0" fillId="2" borderId="7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3" xfId="0" applyFill="1" applyBorder="1"/>
    <xf numFmtId="0" fontId="0" fillId="2" borderId="0" xfId="0" applyFill="1" applyAlignment="1">
      <alignment horizontal="center"/>
    </xf>
    <xf numFmtId="0" fontId="0" fillId="2" borderId="6" xfId="0" applyFill="1" applyBorder="1"/>
    <xf numFmtId="0" fontId="7" fillId="3" borderId="11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6" fillId="2" borderId="4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3" borderId="14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0" fillId="2" borderId="16" xfId="0" applyFill="1" applyBorder="1"/>
    <xf numFmtId="0" fontId="0" fillId="2" borderId="17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14" fillId="5" borderId="1" xfId="0" applyFont="1" applyFill="1" applyBorder="1" applyAlignment="1">
      <alignment horizontal="center" vertical="center" wrapText="1"/>
    </xf>
    <xf numFmtId="9" fontId="0" fillId="0" borderId="0" xfId="1" applyFont="1" applyAlignment="1">
      <alignment horizontal="center"/>
    </xf>
    <xf numFmtId="0" fontId="0" fillId="2" borderId="0" xfId="0" applyFill="1" applyAlignment="1">
      <alignment horizontal="left"/>
    </xf>
    <xf numFmtId="0" fontId="10" fillId="6" borderId="18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6" borderId="20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right"/>
    </xf>
    <xf numFmtId="0" fontId="10" fillId="6" borderId="21" xfId="0" applyFont="1" applyFill="1" applyBorder="1" applyAlignment="1">
      <alignment horizontal="center" vertical="center" wrapText="1"/>
    </xf>
    <xf numFmtId="0" fontId="14" fillId="5" borderId="22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/>
    </xf>
    <xf numFmtId="0" fontId="14" fillId="8" borderId="1" xfId="0" applyFont="1" applyFill="1" applyBorder="1" applyAlignment="1">
      <alignment horizontal="center" vertical="center" wrapText="1"/>
    </xf>
    <xf numFmtId="0" fontId="13" fillId="2" borderId="0" xfId="0" applyFont="1" applyFill="1"/>
    <xf numFmtId="0" fontId="0" fillId="2" borderId="17" xfId="0" applyFill="1" applyBorder="1"/>
    <xf numFmtId="0" fontId="10" fillId="6" borderId="25" xfId="0" applyFont="1" applyFill="1" applyBorder="1" applyAlignment="1">
      <alignment horizontal="center" vertical="center" wrapText="1"/>
    </xf>
    <xf numFmtId="0" fontId="14" fillId="5" borderId="26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11" borderId="28" xfId="0" applyFont="1" applyFill="1" applyBorder="1" applyAlignment="1">
      <alignment horizontal="center" vertical="top" wrapText="1" readingOrder="1"/>
    </xf>
    <xf numFmtId="0" fontId="15" fillId="11" borderId="28" xfId="0" applyFont="1" applyFill="1" applyBorder="1" applyAlignment="1">
      <alignment horizontal="left" vertical="top" wrapText="1" readingOrder="1"/>
    </xf>
    <xf numFmtId="0" fontId="15" fillId="11" borderId="28" xfId="0" applyFont="1" applyFill="1" applyBorder="1" applyAlignment="1">
      <alignment horizontal="left" vertical="center" wrapText="1" readingOrder="1"/>
    </xf>
    <xf numFmtId="0" fontId="16" fillId="12" borderId="21" xfId="0" applyFont="1" applyFill="1" applyBorder="1" applyAlignment="1">
      <alignment horizontal="center" vertical="top" wrapText="1" readingOrder="1"/>
    </xf>
    <xf numFmtId="0" fontId="17" fillId="12" borderId="29" xfId="0" applyFont="1" applyFill="1" applyBorder="1" applyAlignment="1">
      <alignment horizontal="left" vertical="top" wrapText="1" readingOrder="1"/>
    </xf>
    <xf numFmtId="0" fontId="17" fillId="12" borderId="21" xfId="0" applyFont="1" applyFill="1" applyBorder="1" applyAlignment="1">
      <alignment horizontal="left" vertical="center" wrapText="1" readingOrder="1"/>
    </xf>
    <xf numFmtId="0" fontId="10" fillId="6" borderId="30" xfId="0" applyFont="1" applyFill="1" applyBorder="1" applyAlignment="1">
      <alignment horizontal="center" vertical="center" wrapText="1"/>
    </xf>
    <xf numFmtId="0" fontId="16" fillId="13" borderId="25" xfId="0" applyFont="1" applyFill="1" applyBorder="1" applyAlignment="1">
      <alignment horizontal="center" vertical="top" wrapText="1" readingOrder="1"/>
    </xf>
    <xf numFmtId="0" fontId="17" fillId="13" borderId="34" xfId="0" applyFont="1" applyFill="1" applyBorder="1" applyAlignment="1">
      <alignment horizontal="left" vertical="top" wrapText="1" readingOrder="1"/>
    </xf>
    <xf numFmtId="0" fontId="17" fillId="13" borderId="25" xfId="0" applyFont="1" applyFill="1" applyBorder="1" applyAlignment="1">
      <alignment horizontal="left" vertical="center" wrapText="1" readingOrder="1"/>
    </xf>
    <xf numFmtId="0" fontId="16" fillId="12" borderId="25" xfId="0" applyFont="1" applyFill="1" applyBorder="1" applyAlignment="1">
      <alignment horizontal="center" vertical="top" wrapText="1" readingOrder="1"/>
    </xf>
    <xf numFmtId="0" fontId="17" fillId="12" borderId="34" xfId="0" applyFont="1" applyFill="1" applyBorder="1" applyAlignment="1">
      <alignment horizontal="left" vertical="top" wrapText="1" readingOrder="1"/>
    </xf>
    <xf numFmtId="0" fontId="17" fillId="12" borderId="25" xfId="0" applyFont="1" applyFill="1" applyBorder="1" applyAlignment="1">
      <alignment horizontal="left" vertical="center" wrapText="1" readingOrder="1"/>
    </xf>
    <xf numFmtId="0" fontId="10" fillId="6" borderId="28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/>
    </xf>
    <xf numFmtId="0" fontId="16" fillId="12" borderId="30" xfId="0" applyFont="1" applyFill="1" applyBorder="1" applyAlignment="1">
      <alignment horizontal="center" vertical="top" wrapText="1" readingOrder="1"/>
    </xf>
    <xf numFmtId="0" fontId="17" fillId="12" borderId="37" xfId="0" applyFont="1" applyFill="1" applyBorder="1" applyAlignment="1">
      <alignment horizontal="left" vertical="top" wrapText="1" readingOrder="1"/>
    </xf>
    <xf numFmtId="0" fontId="17" fillId="12" borderId="30" xfId="0" applyFont="1" applyFill="1" applyBorder="1" applyAlignment="1">
      <alignment horizontal="left" vertical="center" wrapText="1" readingOrder="1"/>
    </xf>
    <xf numFmtId="0" fontId="14" fillId="10" borderId="1" xfId="0" applyFont="1" applyFill="1" applyBorder="1" applyAlignment="1">
      <alignment horizontal="center" vertical="center" wrapText="1"/>
    </xf>
    <xf numFmtId="0" fontId="0" fillId="2" borderId="14" xfId="0" applyFill="1" applyBorder="1"/>
    <xf numFmtId="0" fontId="0" fillId="2" borderId="38" xfId="0" applyFill="1" applyBorder="1"/>
    <xf numFmtId="0" fontId="0" fillId="2" borderId="38" xfId="0" applyFill="1" applyBorder="1" applyAlignment="1">
      <alignment horizontal="left"/>
    </xf>
    <xf numFmtId="0" fontId="0" fillId="2" borderId="15" xfId="0" applyFill="1" applyBorder="1"/>
    <xf numFmtId="0" fontId="0" fillId="2" borderId="0" xfId="0" applyFill="1" applyAlignment="1">
      <alignment vertical="top"/>
    </xf>
    <xf numFmtId="0" fontId="0" fillId="2" borderId="0" xfId="0" applyFill="1" applyAlignment="1">
      <alignment horizontal="left" vertical="top"/>
    </xf>
    <xf numFmtId="0" fontId="15" fillId="11" borderId="28" xfId="0" applyFont="1" applyFill="1" applyBorder="1" applyAlignment="1">
      <alignment horizontal="center" vertical="center" wrapText="1" readingOrder="1"/>
    </xf>
    <xf numFmtId="0" fontId="16" fillId="12" borderId="39" xfId="0" applyFont="1" applyFill="1" applyBorder="1" applyAlignment="1">
      <alignment horizontal="center" vertical="center" wrapText="1" readingOrder="1"/>
    </xf>
    <xf numFmtId="0" fontId="17" fillId="12" borderId="39" xfId="0" applyFont="1" applyFill="1" applyBorder="1" applyAlignment="1">
      <alignment horizontal="center" vertical="center" wrapText="1" readingOrder="1"/>
    </xf>
    <xf numFmtId="0" fontId="16" fillId="12" borderId="28" xfId="0" applyFont="1" applyFill="1" applyBorder="1" applyAlignment="1">
      <alignment horizontal="center" vertical="center" wrapText="1" readingOrder="1"/>
    </xf>
    <xf numFmtId="0" fontId="17" fillId="12" borderId="28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0" fillId="0" borderId="38" xfId="0" applyBorder="1" applyAlignment="1">
      <alignment horizontal="left"/>
    </xf>
    <xf numFmtId="0" fontId="0" fillId="2" borderId="8" xfId="0" applyFill="1" applyBorder="1"/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5" borderId="33" xfId="0" applyFont="1" applyFill="1" applyBorder="1" applyAlignment="1">
      <alignment horizontal="center" vertical="center" wrapText="1"/>
    </xf>
    <xf numFmtId="0" fontId="14" fillId="15" borderId="27" xfId="0" applyFont="1" applyFill="1" applyBorder="1" applyAlignment="1">
      <alignment horizontal="center" vertical="center" wrapText="1"/>
    </xf>
    <xf numFmtId="0" fontId="14" fillId="8" borderId="27" xfId="0" applyFont="1" applyFill="1" applyBorder="1" applyAlignment="1">
      <alignment horizontal="center" vertical="center" wrapText="1"/>
    </xf>
    <xf numFmtId="0" fontId="14" fillId="16" borderId="26" xfId="0" applyFont="1" applyFill="1" applyBorder="1" applyAlignment="1">
      <alignment horizontal="center" vertical="center" wrapText="1"/>
    </xf>
    <xf numFmtId="0" fontId="14" fillId="16" borderId="3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6" borderId="32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4" borderId="27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27" xfId="0" applyFont="1" applyBorder="1" applyAlignment="1">
      <alignment horizontal="left" vertical="center"/>
    </xf>
    <xf numFmtId="0" fontId="1" fillId="0" borderId="27" xfId="0" applyFont="1" applyBorder="1" applyAlignment="1">
      <alignment horizontal="left"/>
    </xf>
    <xf numFmtId="0" fontId="1" fillId="0" borderId="32" xfId="0" applyFont="1" applyBorder="1" applyAlignment="1">
      <alignment horizontal="left"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32" xfId="0" quotePrefix="1" applyFont="1" applyBorder="1" applyAlignment="1">
      <alignment horizontal="left" vertical="center" wrapText="1"/>
    </xf>
    <xf numFmtId="0" fontId="1" fillId="0" borderId="32" xfId="0" quotePrefix="1" applyFont="1" applyBorder="1" applyAlignment="1">
      <alignment horizontal="center" vertical="center" wrapText="1"/>
    </xf>
    <xf numFmtId="0" fontId="1" fillId="0" borderId="33" xfId="0" applyFont="1" applyBorder="1" applyAlignment="1">
      <alignment horizontal="left"/>
    </xf>
    <xf numFmtId="0" fontId="1" fillId="0" borderId="26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6" fillId="0" borderId="11" xfId="0" applyFont="1" applyBorder="1"/>
    <xf numFmtId="0" fontId="6" fillId="0" borderId="16" xfId="0" applyFont="1" applyBorder="1"/>
    <xf numFmtId="0" fontId="6" fillId="0" borderId="14" xfId="0" applyFont="1" applyBorder="1"/>
    <xf numFmtId="0" fontId="6" fillId="0" borderId="28" xfId="0" applyFont="1" applyBorder="1"/>
    <xf numFmtId="0" fontId="19" fillId="3" borderId="22" xfId="0" applyFont="1" applyFill="1" applyBorder="1" applyAlignment="1">
      <alignment horizontal="center" vertical="center" wrapText="1"/>
    </xf>
    <xf numFmtId="0" fontId="19" fillId="3" borderId="23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vertical="center"/>
    </xf>
    <xf numFmtId="0" fontId="22" fillId="0" borderId="0" xfId="0" applyFont="1"/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52" xfId="0" applyBorder="1" applyAlignment="1">
      <alignment horizontal="left"/>
    </xf>
    <xf numFmtId="0" fontId="0" fillId="0" borderId="15" xfId="0" applyBorder="1" applyAlignment="1">
      <alignment horizontal="left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51" xfId="0" applyBorder="1" applyAlignment="1">
      <alignment horizontal="left"/>
    </xf>
    <xf numFmtId="0" fontId="0" fillId="0" borderId="13" xfId="0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left" vertical="center" wrapText="1"/>
    </xf>
    <xf numFmtId="0" fontId="13" fillId="0" borderId="0" xfId="0" applyFont="1" applyAlignment="1">
      <alignment vertical="top"/>
    </xf>
    <xf numFmtId="0" fontId="13" fillId="0" borderId="17" xfId="0" applyFont="1" applyBorder="1" applyAlignment="1">
      <alignment vertical="top"/>
    </xf>
    <xf numFmtId="0" fontId="13" fillId="0" borderId="38" xfId="0" applyFont="1" applyBorder="1" applyAlignment="1">
      <alignment vertical="top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textRotation="90" wrapText="1"/>
    </xf>
    <xf numFmtId="0" fontId="9" fillId="4" borderId="16" xfId="0" applyFont="1" applyFill="1" applyBorder="1" applyAlignment="1">
      <alignment horizontal="center" vertical="center" textRotation="90" wrapText="1"/>
    </xf>
    <xf numFmtId="0" fontId="9" fillId="4" borderId="14" xfId="0" applyFont="1" applyFill="1" applyBorder="1" applyAlignment="1">
      <alignment horizontal="center" vertical="center" textRotation="90" wrapText="1"/>
    </xf>
    <xf numFmtId="0" fontId="12" fillId="3" borderId="12" xfId="0" applyFont="1" applyFill="1" applyBorder="1" applyAlignment="1">
      <alignment horizontal="left" vertical="center"/>
    </xf>
    <xf numFmtId="0" fontId="12" fillId="3" borderId="38" xfId="0" applyFont="1" applyFill="1" applyBorder="1" applyAlignment="1">
      <alignment horizontal="left" vertical="center"/>
    </xf>
    <xf numFmtId="0" fontId="11" fillId="12" borderId="35" xfId="0" applyFont="1" applyFill="1" applyBorder="1" applyAlignment="1">
      <alignment horizontal="left" vertical="center" wrapText="1" readingOrder="1"/>
    </xf>
    <xf numFmtId="0" fontId="11" fillId="12" borderId="36" xfId="0" applyFont="1" applyFill="1" applyBorder="1" applyAlignment="1">
      <alignment horizontal="left" vertical="center" wrapText="1" readingOrder="1"/>
    </xf>
    <xf numFmtId="0" fontId="11" fillId="12" borderId="47" xfId="0" applyFont="1" applyFill="1" applyBorder="1" applyAlignment="1">
      <alignment horizontal="left" vertical="center" wrapText="1" readingOrder="1"/>
    </xf>
    <xf numFmtId="0" fontId="11" fillId="12" borderId="29" xfId="0" applyFont="1" applyFill="1" applyBorder="1" applyAlignment="1">
      <alignment horizontal="left" vertical="center" wrapText="1" readingOrder="1"/>
    </xf>
    <xf numFmtId="0" fontId="11" fillId="12" borderId="41" xfId="0" applyFont="1" applyFill="1" applyBorder="1" applyAlignment="1">
      <alignment horizontal="left" vertical="center" wrapText="1" readingOrder="1"/>
    </xf>
    <xf numFmtId="0" fontId="11" fillId="12" borderId="48" xfId="0" applyFont="1" applyFill="1" applyBorder="1" applyAlignment="1">
      <alignment horizontal="left" vertical="center" wrapText="1" readingOrder="1"/>
    </xf>
    <xf numFmtId="0" fontId="15" fillId="11" borderId="18" xfId="0" applyFont="1" applyFill="1" applyBorder="1" applyAlignment="1">
      <alignment horizontal="left" vertical="center" wrapText="1" readingOrder="1"/>
    </xf>
    <xf numFmtId="0" fontId="15" fillId="11" borderId="19" xfId="0" applyFont="1" applyFill="1" applyBorder="1" applyAlignment="1">
      <alignment horizontal="left" vertical="center" wrapText="1" readingOrder="1"/>
    </xf>
    <xf numFmtId="0" fontId="15" fillId="11" borderId="20" xfId="0" applyFont="1" applyFill="1" applyBorder="1" applyAlignment="1">
      <alignment horizontal="left" vertical="center" wrapText="1" readingOrder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7" xfId="0" applyBorder="1" applyAlignment="1">
      <alignment horizontal="center"/>
    </xf>
    <xf numFmtId="0" fontId="16" fillId="13" borderId="39" xfId="0" applyFont="1" applyFill="1" applyBorder="1" applyAlignment="1">
      <alignment horizontal="center" vertical="center" wrapText="1" readingOrder="1"/>
    </xf>
    <xf numFmtId="0" fontId="0" fillId="0" borderId="40" xfId="0" applyBorder="1" applyAlignment="1">
      <alignment horizontal="center" vertical="center" wrapText="1" readingOrder="1"/>
    </xf>
    <xf numFmtId="0" fontId="0" fillId="0" borderId="44" xfId="0" applyBorder="1" applyAlignment="1">
      <alignment horizontal="center" vertical="center" wrapText="1" readingOrder="1"/>
    </xf>
    <xf numFmtId="0" fontId="17" fillId="13" borderId="39" xfId="0" applyFont="1" applyFill="1" applyBorder="1" applyAlignment="1">
      <alignment horizontal="center" vertical="center" wrapText="1" readingOrder="1"/>
    </xf>
    <xf numFmtId="0" fontId="11" fillId="13" borderId="29" xfId="0" applyFont="1" applyFill="1" applyBorder="1" applyAlignment="1">
      <alignment horizontal="left" vertical="center" wrapText="1" readingOrder="1"/>
    </xf>
    <xf numFmtId="0" fontId="11" fillId="13" borderId="41" xfId="0" applyFont="1" applyFill="1" applyBorder="1" applyAlignment="1">
      <alignment horizontal="left" vertical="center" wrapText="1" readingOrder="1"/>
    </xf>
    <xf numFmtId="0" fontId="11" fillId="13" borderId="48" xfId="0" applyFont="1" applyFill="1" applyBorder="1" applyAlignment="1">
      <alignment horizontal="left" vertical="center" wrapText="1" readingOrder="1"/>
    </xf>
    <xf numFmtId="0" fontId="11" fillId="13" borderId="34" xfId="0" applyFont="1" applyFill="1" applyBorder="1" applyAlignment="1">
      <alignment horizontal="left" vertical="center" wrapText="1" readingOrder="1"/>
    </xf>
    <xf numFmtId="0" fontId="11" fillId="13" borderId="42" xfId="0" applyFont="1" applyFill="1" applyBorder="1" applyAlignment="1">
      <alignment horizontal="left" vertical="center" wrapText="1" readingOrder="1"/>
    </xf>
    <xf numFmtId="0" fontId="11" fillId="13" borderId="49" xfId="0" applyFont="1" applyFill="1" applyBorder="1" applyAlignment="1">
      <alignment horizontal="left" vertical="center" wrapText="1" readingOrder="1"/>
    </xf>
    <xf numFmtId="0" fontId="16" fillId="12" borderId="39" xfId="0" applyFont="1" applyFill="1" applyBorder="1" applyAlignment="1">
      <alignment horizontal="center" vertical="center" wrapText="1" readingOrder="1"/>
    </xf>
    <xf numFmtId="0" fontId="17" fillId="12" borderId="39" xfId="0" applyFont="1" applyFill="1" applyBorder="1" applyAlignment="1">
      <alignment horizontal="center" vertical="center" wrapText="1" readingOrder="1"/>
    </xf>
    <xf numFmtId="0" fontId="17" fillId="12" borderId="40" xfId="0" applyFont="1" applyFill="1" applyBorder="1" applyAlignment="1">
      <alignment horizontal="center" vertical="center" wrapText="1" readingOrder="1"/>
    </xf>
    <xf numFmtId="0" fontId="17" fillId="12" borderId="44" xfId="0" applyFont="1" applyFill="1" applyBorder="1" applyAlignment="1">
      <alignment horizontal="center" vertical="center" wrapText="1" readingOrder="1"/>
    </xf>
    <xf numFmtId="0" fontId="11" fillId="12" borderId="34" xfId="0" applyFont="1" applyFill="1" applyBorder="1" applyAlignment="1">
      <alignment horizontal="left" vertical="center" wrapText="1" readingOrder="1"/>
    </xf>
    <xf numFmtId="0" fontId="11" fillId="12" borderId="42" xfId="0" applyFont="1" applyFill="1" applyBorder="1" applyAlignment="1">
      <alignment horizontal="left" vertical="center" wrapText="1" readingOrder="1"/>
    </xf>
    <xf numFmtId="0" fontId="11" fillId="12" borderId="49" xfId="0" applyFont="1" applyFill="1" applyBorder="1" applyAlignment="1">
      <alignment horizontal="left" vertical="center" wrapText="1" readingOrder="1"/>
    </xf>
    <xf numFmtId="0" fontId="11" fillId="12" borderId="37" xfId="0" applyFont="1" applyFill="1" applyBorder="1" applyAlignment="1">
      <alignment horizontal="left" vertical="center" wrapText="1" readingOrder="1"/>
    </xf>
    <xf numFmtId="0" fontId="11" fillId="12" borderId="43" xfId="0" applyFont="1" applyFill="1" applyBorder="1" applyAlignment="1">
      <alignment horizontal="left" vertical="center" wrapText="1" readingOrder="1"/>
    </xf>
    <xf numFmtId="0" fontId="11" fillId="12" borderId="50" xfId="0" applyFont="1" applyFill="1" applyBorder="1" applyAlignment="1">
      <alignment horizontal="left" vertical="center" wrapText="1" readingOrder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24" fillId="0" borderId="0" xfId="0" applyFont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7" xfId="0" applyBorder="1"/>
    <xf numFmtId="0" fontId="0" fillId="0" borderId="15" xfId="0" applyBorder="1"/>
    <xf numFmtId="0" fontId="6" fillId="0" borderId="47" xfId="0" applyFont="1" applyBorder="1"/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</cellXfs>
  <cellStyles count="3">
    <cellStyle name="Normal" xfId="0" builtinId="0"/>
    <cellStyle name="Normale 2" xfId="2" xr:uid="{D8544A17-DC65-4E86-830D-4692B6321E38}"/>
    <cellStyle name="Percent" xfId="1" builtinId="5"/>
  </cellStyles>
  <dxfs count="15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9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theme="5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</xdr:row>
      <xdr:rowOff>19050</xdr:rowOff>
    </xdr:from>
    <xdr:to>
      <xdr:col>6</xdr:col>
      <xdr:colOff>284946</xdr:colOff>
      <xdr:row>31</xdr:row>
      <xdr:rowOff>98365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10C971-9817-F816-A86E-4A19EFF99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85800"/>
          <a:ext cx="3904446" cy="517328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B3B4-1D2A-4075-ADDD-15400B26EFD7}">
  <dimension ref="A1:J10"/>
  <sheetViews>
    <sheetView showGridLines="0" tabSelected="1" workbookViewId="0">
      <selection activeCell="I34" sqref="I34"/>
    </sheetView>
  </sheetViews>
  <sheetFormatPr defaultRowHeight="14.4" x14ac:dyDescent="0.3"/>
  <cols>
    <col min="8" max="8" width="4" bestFit="1" customWidth="1"/>
    <col min="9" max="9" width="22.88671875" customWidth="1"/>
    <col min="10" max="10" width="14.44140625" customWidth="1"/>
  </cols>
  <sheetData>
    <row r="1" spans="1:10" ht="23.4" x14ac:dyDescent="0.45">
      <c r="A1" s="189" t="s">
        <v>404</v>
      </c>
    </row>
    <row r="2" spans="1:10" x14ac:dyDescent="0.3">
      <c r="A2" s="108" t="s">
        <v>372</v>
      </c>
      <c r="B2" s="134" t="s">
        <v>369</v>
      </c>
      <c r="C2" s="134"/>
    </row>
    <row r="3" spans="1:10" ht="15" thickBot="1" x14ac:dyDescent="0.35">
      <c r="A3" s="108" t="s">
        <v>370</v>
      </c>
      <c r="B3" s="134" t="s">
        <v>371</v>
      </c>
      <c r="C3" s="134"/>
    </row>
    <row r="4" spans="1:10" ht="15" thickBot="1" x14ac:dyDescent="0.35">
      <c r="H4" s="121" t="s">
        <v>405</v>
      </c>
      <c r="I4" s="195" t="s">
        <v>406</v>
      </c>
    </row>
    <row r="5" spans="1:10" x14ac:dyDescent="0.3">
      <c r="H5" s="196">
        <v>1</v>
      </c>
      <c r="I5" s="190" t="s">
        <v>231</v>
      </c>
      <c r="J5" s="191"/>
    </row>
    <row r="6" spans="1:10" x14ac:dyDescent="0.3">
      <c r="H6" s="197">
        <v>2</v>
      </c>
      <c r="I6" s="192" t="s">
        <v>229</v>
      </c>
      <c r="J6" s="193"/>
    </row>
    <row r="7" spans="1:10" x14ac:dyDescent="0.3">
      <c r="H7" s="197">
        <v>3</v>
      </c>
      <c r="I7" s="192" t="s">
        <v>105</v>
      </c>
      <c r="J7" s="193"/>
    </row>
    <row r="8" spans="1:10" x14ac:dyDescent="0.3">
      <c r="H8" s="197">
        <v>4</v>
      </c>
      <c r="I8" s="192" t="s">
        <v>230</v>
      </c>
      <c r="J8" s="193"/>
    </row>
    <row r="9" spans="1:10" x14ac:dyDescent="0.3">
      <c r="H9" s="197">
        <v>5</v>
      </c>
      <c r="I9" s="192" t="s">
        <v>402</v>
      </c>
      <c r="J9" s="193"/>
    </row>
    <row r="10" spans="1:10" ht="15" thickBot="1" x14ac:dyDescent="0.35">
      <c r="H10" s="198">
        <v>6</v>
      </c>
      <c r="I10" s="8" t="s">
        <v>403</v>
      </c>
      <c r="J10" s="194"/>
    </row>
  </sheetData>
  <mergeCells count="2">
    <mergeCell ref="B2:C2"/>
    <mergeCell ref="B3:C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5352-6B70-4695-9924-37558526E208}">
  <dimension ref="A1:S61"/>
  <sheetViews>
    <sheetView topLeftCell="D1" zoomScaleNormal="100" workbookViewId="0">
      <selection activeCell="E15" sqref="E15"/>
    </sheetView>
  </sheetViews>
  <sheetFormatPr defaultRowHeight="14.4" x14ac:dyDescent="0.3"/>
  <cols>
    <col min="1" max="1" width="11.21875" bestFit="1" customWidth="1"/>
    <col min="2" max="2" width="13.44140625" customWidth="1"/>
    <col min="3" max="3" width="32.109375" customWidth="1"/>
    <col min="4" max="4" width="42.109375" bestFit="1" customWidth="1"/>
    <col min="5" max="5" width="81.6640625" bestFit="1" customWidth="1"/>
    <col min="6" max="6" width="15.6640625" bestFit="1" customWidth="1"/>
    <col min="7" max="7" width="47.21875" customWidth="1"/>
    <col min="8" max="8" width="55.109375" bestFit="1" customWidth="1"/>
    <col min="9" max="9" width="11" bestFit="1" customWidth="1"/>
    <col min="10" max="10" width="34.109375" bestFit="1" customWidth="1"/>
    <col min="11" max="11" width="35.6640625" bestFit="1" customWidth="1"/>
    <col min="12" max="12" width="11.5546875" customWidth="1"/>
    <col min="13" max="13" width="14.21875" customWidth="1"/>
    <col min="14" max="14" width="10.109375" customWidth="1"/>
    <col min="15" max="15" width="45.5546875" bestFit="1" customWidth="1"/>
    <col min="16" max="16" width="71.21875" bestFit="1" customWidth="1"/>
    <col min="17" max="19" width="0" hidden="1" customWidth="1"/>
  </cols>
  <sheetData>
    <row r="1" spans="1:19" ht="22.8" customHeight="1" x14ac:dyDescent="0.4">
      <c r="A1" s="135" t="s">
        <v>61</v>
      </c>
      <c r="B1" s="135"/>
      <c r="C1" s="135"/>
      <c r="D1" s="135"/>
      <c r="E1" s="135"/>
      <c r="F1" s="2"/>
      <c r="G1" s="1"/>
      <c r="H1" s="1"/>
      <c r="I1" s="3"/>
      <c r="J1" s="4"/>
      <c r="K1" s="4"/>
      <c r="L1" s="5"/>
      <c r="M1" s="5"/>
      <c r="N1" s="5"/>
      <c r="O1" s="4"/>
    </row>
    <row r="2" spans="1:19" ht="17.399999999999999" customHeight="1" x14ac:dyDescent="0.3">
      <c r="A2" s="108" t="s">
        <v>372</v>
      </c>
      <c r="B2" s="134" t="s">
        <v>369</v>
      </c>
      <c r="C2" s="134"/>
      <c r="D2" s="2"/>
      <c r="E2" s="1"/>
      <c r="F2" s="2"/>
      <c r="G2" s="1"/>
      <c r="H2" s="1"/>
      <c r="I2" s="3"/>
      <c r="J2" s="4"/>
      <c r="K2" s="5"/>
      <c r="L2" s="5"/>
      <c r="M2" s="5"/>
      <c r="N2" s="5"/>
      <c r="O2" s="4"/>
    </row>
    <row r="3" spans="1:19" ht="23.4" customHeight="1" thickBot="1" x14ac:dyDescent="0.35">
      <c r="A3" s="108" t="s">
        <v>370</v>
      </c>
      <c r="B3" s="134" t="s">
        <v>371</v>
      </c>
      <c r="C3" s="134"/>
      <c r="D3" s="2"/>
      <c r="E3" s="1"/>
      <c r="F3" s="2"/>
      <c r="G3" s="1"/>
      <c r="H3" s="1"/>
      <c r="I3" s="3"/>
      <c r="J3" s="4"/>
      <c r="K3" s="5"/>
      <c r="L3" s="5"/>
      <c r="M3" s="5"/>
      <c r="N3" s="5"/>
      <c r="O3" s="4"/>
    </row>
    <row r="4" spans="1:19" s="126" customFormat="1" ht="39.6" x14ac:dyDescent="0.3">
      <c r="A4" s="122" t="s">
        <v>10</v>
      </c>
      <c r="B4" s="123" t="s">
        <v>0</v>
      </c>
      <c r="C4" s="124" t="s">
        <v>1</v>
      </c>
      <c r="D4" s="124" t="s">
        <v>2</v>
      </c>
      <c r="E4" s="123" t="s">
        <v>3</v>
      </c>
      <c r="F4" s="123" t="s">
        <v>4</v>
      </c>
      <c r="G4" s="123" t="s">
        <v>15</v>
      </c>
      <c r="H4" s="123" t="s">
        <v>16</v>
      </c>
      <c r="I4" s="123" t="s">
        <v>5</v>
      </c>
      <c r="J4" s="123" t="s">
        <v>6</v>
      </c>
      <c r="K4" s="123" t="s">
        <v>7</v>
      </c>
      <c r="L4" s="123" t="s">
        <v>270</v>
      </c>
      <c r="M4" s="123" t="s">
        <v>269</v>
      </c>
      <c r="N4" s="123" t="s">
        <v>271</v>
      </c>
      <c r="O4" s="123" t="s">
        <v>8</v>
      </c>
      <c r="P4" s="125" t="s">
        <v>9</v>
      </c>
    </row>
    <row r="5" spans="1:19" s="96" customFormat="1" ht="20.399999999999999" customHeight="1" x14ac:dyDescent="0.2">
      <c r="A5" s="116">
        <v>1</v>
      </c>
      <c r="B5" s="199" t="s">
        <v>228</v>
      </c>
      <c r="C5" s="202" t="s">
        <v>381</v>
      </c>
      <c r="D5" s="89" t="s">
        <v>64</v>
      </c>
      <c r="E5" s="89" t="s">
        <v>65</v>
      </c>
      <c r="F5" s="186" t="s">
        <v>11</v>
      </c>
      <c r="G5" s="91" t="s">
        <v>66</v>
      </c>
      <c r="H5" s="91" t="s">
        <v>160</v>
      </c>
      <c r="I5" s="92" t="s">
        <v>43</v>
      </c>
      <c r="J5" s="90" t="s">
        <v>247</v>
      </c>
      <c r="K5" s="91" t="s">
        <v>233</v>
      </c>
      <c r="L5" s="93">
        <v>4</v>
      </c>
      <c r="M5" s="93">
        <v>3</v>
      </c>
      <c r="N5" s="93" t="str">
        <f>VLOOKUP(L5&amp;M5,Class!$T$3:$U$26,2,FALSE)</f>
        <v>ME</v>
      </c>
      <c r="O5" s="90" t="s">
        <v>237</v>
      </c>
      <c r="P5" s="109" t="s">
        <v>268</v>
      </c>
      <c r="R5" s="96" t="str">
        <f>L5&amp;M5</f>
        <v>43</v>
      </c>
      <c r="S5" s="96">
        <f>IF(R5&lt;&gt;"",1,0)</f>
        <v>1</v>
      </c>
    </row>
    <row r="6" spans="1:19" s="184" customFormat="1" ht="20.399999999999999" x14ac:dyDescent="0.2">
      <c r="A6" s="116">
        <v>2</v>
      </c>
      <c r="B6" s="200"/>
      <c r="C6" s="203"/>
      <c r="D6" s="89" t="s">
        <v>67</v>
      </c>
      <c r="E6" s="89" t="s">
        <v>68</v>
      </c>
      <c r="F6" s="188"/>
      <c r="G6" s="91" t="s">
        <v>104</v>
      </c>
      <c r="H6" s="91" t="s">
        <v>70</v>
      </c>
      <c r="I6" s="92" t="s">
        <v>43</v>
      </c>
      <c r="J6" s="91" t="s">
        <v>234</v>
      </c>
      <c r="K6" s="91" t="s">
        <v>235</v>
      </c>
      <c r="L6" s="93">
        <v>4</v>
      </c>
      <c r="M6" s="93">
        <v>4</v>
      </c>
      <c r="N6" s="93" t="str">
        <f>VLOOKUP(L6&amp;M6,Class!$T$3:$U$26,2,FALSE)</f>
        <v>HI</v>
      </c>
      <c r="O6" s="90" t="s">
        <v>382</v>
      </c>
      <c r="P6" s="110" t="s">
        <v>383</v>
      </c>
      <c r="R6" s="185" t="str">
        <f t="shared" ref="R6:R55" si="0">L6&amp;M6</f>
        <v>44</v>
      </c>
      <c r="S6" s="185">
        <f t="shared" ref="S6:S50" si="1">IF(R6&lt;&gt;"",1,0)</f>
        <v>1</v>
      </c>
    </row>
    <row r="7" spans="1:19" s="184" customFormat="1" ht="10.199999999999999" x14ac:dyDescent="0.2">
      <c r="A7" s="116">
        <v>3</v>
      </c>
      <c r="B7" s="200"/>
      <c r="C7" s="203"/>
      <c r="D7" s="89" t="s">
        <v>71</v>
      </c>
      <c r="E7" s="94" t="s">
        <v>72</v>
      </c>
      <c r="F7" s="186" t="s">
        <v>13</v>
      </c>
      <c r="G7" s="89" t="s">
        <v>73</v>
      </c>
      <c r="H7" s="89" t="s">
        <v>69</v>
      </c>
      <c r="I7" s="92" t="s">
        <v>43</v>
      </c>
      <c r="J7" s="91" t="s">
        <v>384</v>
      </c>
      <c r="K7" s="89" t="s">
        <v>236</v>
      </c>
      <c r="L7" s="93">
        <v>4</v>
      </c>
      <c r="M7" s="93">
        <v>3</v>
      </c>
      <c r="N7" s="93" t="str">
        <f>VLOOKUP(L7&amp;M7,Class!$T$3:$U$26,2,FALSE)</f>
        <v>ME</v>
      </c>
      <c r="O7" s="90" t="s">
        <v>238</v>
      </c>
      <c r="P7" s="110" t="s">
        <v>267</v>
      </c>
      <c r="R7" s="185" t="str">
        <f t="shared" si="0"/>
        <v>43</v>
      </c>
      <c r="S7" s="185">
        <f t="shared" si="1"/>
        <v>1</v>
      </c>
    </row>
    <row r="8" spans="1:19" s="184" customFormat="1" ht="10.199999999999999" x14ac:dyDescent="0.2">
      <c r="A8" s="116">
        <v>4</v>
      </c>
      <c r="B8" s="200"/>
      <c r="C8" s="203"/>
      <c r="D8" s="89" t="s">
        <v>74</v>
      </c>
      <c r="E8" s="89" t="s">
        <v>75</v>
      </c>
      <c r="F8" s="187"/>
      <c r="G8" s="89" t="s">
        <v>385</v>
      </c>
      <c r="H8" s="89" t="s">
        <v>386</v>
      </c>
      <c r="I8" s="92" t="s">
        <v>43</v>
      </c>
      <c r="J8" s="91" t="s">
        <v>239</v>
      </c>
      <c r="K8" s="91" t="s">
        <v>240</v>
      </c>
      <c r="L8" s="93">
        <v>4</v>
      </c>
      <c r="M8" s="93">
        <v>3</v>
      </c>
      <c r="N8" s="93" t="str">
        <f>VLOOKUP(L8&amp;M8,Class!$T$3:$U$26,2,FALSE)</f>
        <v>ME</v>
      </c>
      <c r="O8" s="91" t="s">
        <v>387</v>
      </c>
      <c r="P8" s="110" t="s">
        <v>388</v>
      </c>
      <c r="R8" s="185" t="str">
        <f t="shared" si="0"/>
        <v>43</v>
      </c>
      <c r="S8" s="185">
        <f t="shared" si="1"/>
        <v>1</v>
      </c>
    </row>
    <row r="9" spans="1:19" s="184" customFormat="1" ht="20.399999999999999" x14ac:dyDescent="0.2">
      <c r="A9" s="116">
        <v>5</v>
      </c>
      <c r="B9" s="200"/>
      <c r="C9" s="203"/>
      <c r="D9" s="89" t="s">
        <v>76</v>
      </c>
      <c r="E9" s="89" t="s">
        <v>389</v>
      </c>
      <c r="F9" s="188"/>
      <c r="G9" s="89" t="s">
        <v>390</v>
      </c>
      <c r="H9" s="89" t="s">
        <v>77</v>
      </c>
      <c r="I9" s="92" t="s">
        <v>39</v>
      </c>
      <c r="J9" s="91" t="s">
        <v>241</v>
      </c>
      <c r="K9" s="91" t="s">
        <v>392</v>
      </c>
      <c r="L9" s="93">
        <v>5</v>
      </c>
      <c r="M9" s="93">
        <v>2</v>
      </c>
      <c r="N9" s="93" t="str">
        <f>VLOOKUP(L9&amp;M9,Class!$T$3:$U$26,2,FALSE)</f>
        <v>ME</v>
      </c>
      <c r="O9" s="91" t="s">
        <v>391</v>
      </c>
      <c r="P9" s="110" t="s">
        <v>266</v>
      </c>
      <c r="R9" s="185" t="str">
        <f t="shared" si="0"/>
        <v>52</v>
      </c>
      <c r="S9" s="185">
        <f t="shared" si="1"/>
        <v>1</v>
      </c>
    </row>
    <row r="10" spans="1:19" s="184" customFormat="1" ht="20.399999999999999" customHeight="1" x14ac:dyDescent="0.2">
      <c r="A10" s="116">
        <v>6</v>
      </c>
      <c r="B10" s="200"/>
      <c r="C10" s="203"/>
      <c r="D10" s="94" t="s">
        <v>78</v>
      </c>
      <c r="E10" s="89" t="s">
        <v>79</v>
      </c>
      <c r="F10" s="186" t="s">
        <v>12</v>
      </c>
      <c r="G10" s="89" t="s">
        <v>80</v>
      </c>
      <c r="H10" s="89" t="s">
        <v>81</v>
      </c>
      <c r="I10" s="92" t="s">
        <v>39</v>
      </c>
      <c r="J10" s="91" t="s">
        <v>242</v>
      </c>
      <c r="K10" s="91" t="s">
        <v>243</v>
      </c>
      <c r="L10" s="93">
        <v>5</v>
      </c>
      <c r="M10" s="93">
        <v>3</v>
      </c>
      <c r="N10" s="93" t="str">
        <f>VLOOKUP(L10&amp;M10,Class!$T$3:$U$26,2,FALSE)</f>
        <v>HI</v>
      </c>
      <c r="O10" s="91" t="s">
        <v>244</v>
      </c>
      <c r="P10" s="110" t="s">
        <v>265</v>
      </c>
      <c r="R10" s="185" t="str">
        <f t="shared" si="0"/>
        <v>53</v>
      </c>
      <c r="S10" s="185">
        <f t="shared" si="1"/>
        <v>1</v>
      </c>
    </row>
    <row r="11" spans="1:19" s="184" customFormat="1" ht="10.199999999999999" x14ac:dyDescent="0.2">
      <c r="A11" s="116">
        <v>7</v>
      </c>
      <c r="B11" s="200"/>
      <c r="C11" s="203"/>
      <c r="D11" s="89" t="s">
        <v>394</v>
      </c>
      <c r="E11" s="89" t="s">
        <v>82</v>
      </c>
      <c r="F11" s="187"/>
      <c r="G11" s="94" t="s">
        <v>83</v>
      </c>
      <c r="H11" s="89" t="s">
        <v>84</v>
      </c>
      <c r="I11" s="92" t="s">
        <v>43</v>
      </c>
      <c r="J11" s="91" t="s">
        <v>245</v>
      </c>
      <c r="K11" s="91" t="s">
        <v>246</v>
      </c>
      <c r="L11" s="93">
        <v>4</v>
      </c>
      <c r="M11" s="93">
        <v>3</v>
      </c>
      <c r="N11" s="93" t="str">
        <f>VLOOKUP(L11&amp;M11,Class!$T$3:$U$26,2,FALSE)</f>
        <v>ME</v>
      </c>
      <c r="O11" s="90" t="s">
        <v>248</v>
      </c>
      <c r="P11" s="110" t="s">
        <v>393</v>
      </c>
      <c r="R11" s="185" t="str">
        <f t="shared" si="0"/>
        <v>43</v>
      </c>
      <c r="S11" s="185">
        <f t="shared" si="1"/>
        <v>1</v>
      </c>
    </row>
    <row r="12" spans="1:19" s="87" customFormat="1" ht="22.8" customHeight="1" x14ac:dyDescent="0.2">
      <c r="A12" s="116">
        <v>8</v>
      </c>
      <c r="B12" s="200"/>
      <c r="C12" s="203"/>
      <c r="D12" s="89" t="s">
        <v>85</v>
      </c>
      <c r="E12" s="89" t="s">
        <v>86</v>
      </c>
      <c r="F12" s="188"/>
      <c r="G12" s="94" t="s">
        <v>87</v>
      </c>
      <c r="H12" s="89" t="s">
        <v>88</v>
      </c>
      <c r="I12" s="92" t="s">
        <v>43</v>
      </c>
      <c r="J12" s="90" t="s">
        <v>249</v>
      </c>
      <c r="K12" s="90" t="s">
        <v>250</v>
      </c>
      <c r="L12" s="93">
        <v>4</v>
      </c>
      <c r="M12" s="93">
        <v>3</v>
      </c>
      <c r="N12" s="93" t="str">
        <f>VLOOKUP(L12&amp;M12,Class!$T$3:$U$26,2,FALSE)</f>
        <v>ME</v>
      </c>
      <c r="O12" s="91" t="s">
        <v>251</v>
      </c>
      <c r="P12" s="110" t="s">
        <v>395</v>
      </c>
      <c r="R12" s="185" t="str">
        <f t="shared" si="0"/>
        <v>43</v>
      </c>
      <c r="S12" s="185">
        <f t="shared" si="1"/>
        <v>1</v>
      </c>
    </row>
    <row r="13" spans="1:19" s="87" customFormat="1" ht="10.199999999999999" x14ac:dyDescent="0.2">
      <c r="A13" s="116">
        <v>9</v>
      </c>
      <c r="B13" s="200"/>
      <c r="C13" s="203"/>
      <c r="D13" s="95" t="s">
        <v>89</v>
      </c>
      <c r="E13" s="89" t="s">
        <v>90</v>
      </c>
      <c r="F13" s="92" t="s">
        <v>63</v>
      </c>
      <c r="G13" s="89" t="s">
        <v>91</v>
      </c>
      <c r="H13" s="89" t="s">
        <v>92</v>
      </c>
      <c r="I13" s="92" t="s">
        <v>43</v>
      </c>
      <c r="J13" s="91" t="s">
        <v>242</v>
      </c>
      <c r="K13" s="91" t="s">
        <v>252</v>
      </c>
      <c r="L13" s="93">
        <v>4</v>
      </c>
      <c r="M13" s="93">
        <v>2</v>
      </c>
      <c r="N13" s="93" t="str">
        <f>VLOOKUP(L13&amp;M13,Class!$T$3:$U$26,2,FALSE)</f>
        <v>MI</v>
      </c>
      <c r="O13" s="91" t="s">
        <v>253</v>
      </c>
      <c r="P13" s="110" t="s">
        <v>264</v>
      </c>
      <c r="R13" s="185" t="str">
        <f t="shared" si="0"/>
        <v>42</v>
      </c>
      <c r="S13" s="185">
        <f t="shared" si="1"/>
        <v>1</v>
      </c>
    </row>
    <row r="14" spans="1:19" s="87" customFormat="1" ht="10.199999999999999" x14ac:dyDescent="0.2">
      <c r="A14" s="116">
        <v>10</v>
      </c>
      <c r="B14" s="200"/>
      <c r="C14" s="203"/>
      <c r="D14" s="89" t="s">
        <v>93</v>
      </c>
      <c r="E14" s="89" t="s">
        <v>94</v>
      </c>
      <c r="F14" s="186" t="s">
        <v>14</v>
      </c>
      <c r="G14" s="89" t="s">
        <v>95</v>
      </c>
      <c r="H14" s="89" t="s">
        <v>96</v>
      </c>
      <c r="I14" s="92" t="s">
        <v>396</v>
      </c>
      <c r="J14" s="91" t="s">
        <v>254</v>
      </c>
      <c r="K14" s="91" t="s">
        <v>255</v>
      </c>
      <c r="L14" s="93">
        <v>2</v>
      </c>
      <c r="M14" s="93">
        <v>4</v>
      </c>
      <c r="N14" s="93" t="str">
        <f>VLOOKUP(L14&amp;M14,Class!$T$3:$U$26,2,FALSE)</f>
        <v>MI</v>
      </c>
      <c r="O14" s="91" t="s">
        <v>256</v>
      </c>
      <c r="P14" s="110" t="s">
        <v>263</v>
      </c>
      <c r="R14" s="185" t="str">
        <f t="shared" si="0"/>
        <v>24</v>
      </c>
      <c r="S14" s="185">
        <f t="shared" si="1"/>
        <v>1</v>
      </c>
    </row>
    <row r="15" spans="1:19" s="87" customFormat="1" ht="10.199999999999999" x14ac:dyDescent="0.2">
      <c r="A15" s="116">
        <v>11</v>
      </c>
      <c r="B15" s="200"/>
      <c r="C15" s="203"/>
      <c r="D15" s="89" t="s">
        <v>97</v>
      </c>
      <c r="E15" s="89" t="s">
        <v>98</v>
      </c>
      <c r="F15" s="187"/>
      <c r="G15" s="89" t="s">
        <v>99</v>
      </c>
      <c r="H15" s="89" t="s">
        <v>397</v>
      </c>
      <c r="I15" s="92" t="s">
        <v>396</v>
      </c>
      <c r="J15" s="91" t="s">
        <v>14</v>
      </c>
      <c r="K15" s="91" t="s">
        <v>257</v>
      </c>
      <c r="L15" s="93">
        <v>2</v>
      </c>
      <c r="M15" s="93">
        <v>3</v>
      </c>
      <c r="N15" s="93" t="str">
        <f>VLOOKUP(L15&amp;M15,Class!$T$3:$U$26,2,FALSE)</f>
        <v>MI</v>
      </c>
      <c r="O15" s="91" t="s">
        <v>258</v>
      </c>
      <c r="P15" s="110" t="s">
        <v>262</v>
      </c>
      <c r="R15" s="185" t="str">
        <f t="shared" si="0"/>
        <v>23</v>
      </c>
      <c r="S15" s="185">
        <f t="shared" si="1"/>
        <v>1</v>
      </c>
    </row>
    <row r="16" spans="1:19" s="87" customFormat="1" ht="10.199999999999999" x14ac:dyDescent="0.2">
      <c r="A16" s="116">
        <v>12</v>
      </c>
      <c r="B16" s="201"/>
      <c r="C16" s="204"/>
      <c r="D16" s="89" t="s">
        <v>100</v>
      </c>
      <c r="E16" s="89" t="s">
        <v>101</v>
      </c>
      <c r="F16" s="188"/>
      <c r="G16" s="89" t="s">
        <v>102</v>
      </c>
      <c r="H16" s="89" t="s">
        <v>103</v>
      </c>
      <c r="I16" s="97" t="s">
        <v>43</v>
      </c>
      <c r="J16" s="90" t="s">
        <v>259</v>
      </c>
      <c r="K16" s="90" t="s">
        <v>260</v>
      </c>
      <c r="L16" s="97">
        <v>4</v>
      </c>
      <c r="M16" s="97">
        <v>3</v>
      </c>
      <c r="N16" s="93" t="str">
        <f>VLOOKUP(L16&amp;M16,Class!$T$3:$U$26,2,FALSE)</f>
        <v>ME</v>
      </c>
      <c r="O16" s="90" t="s">
        <v>398</v>
      </c>
      <c r="P16" s="110" t="s">
        <v>261</v>
      </c>
      <c r="R16" s="185" t="str">
        <f t="shared" si="0"/>
        <v>43</v>
      </c>
      <c r="S16" s="185">
        <f t="shared" si="1"/>
        <v>1</v>
      </c>
    </row>
    <row r="17" spans="1:19" s="88" customFormat="1" ht="10.199999999999999" x14ac:dyDescent="0.2">
      <c r="A17" s="116">
        <v>13</v>
      </c>
      <c r="B17" s="138" t="s">
        <v>105</v>
      </c>
      <c r="C17" s="127" t="s">
        <v>136</v>
      </c>
      <c r="D17" s="89" t="s">
        <v>106</v>
      </c>
      <c r="E17" s="89" t="s">
        <v>110</v>
      </c>
      <c r="F17" s="92" t="s">
        <v>11</v>
      </c>
      <c r="G17" s="89" t="s">
        <v>107</v>
      </c>
      <c r="H17" s="89" t="s">
        <v>108</v>
      </c>
      <c r="I17" s="92" t="s">
        <v>43</v>
      </c>
      <c r="J17" s="90" t="s">
        <v>275</v>
      </c>
      <c r="K17" s="90" t="s">
        <v>276</v>
      </c>
      <c r="L17" s="93">
        <v>4</v>
      </c>
      <c r="M17" s="93">
        <v>3</v>
      </c>
      <c r="N17" s="93" t="str">
        <f>VLOOKUP(L17&amp;M17,Class!$T$3:$U$26,2,FALSE)</f>
        <v>ME</v>
      </c>
      <c r="O17" s="91" t="s">
        <v>277</v>
      </c>
      <c r="P17" s="109" t="s">
        <v>278</v>
      </c>
      <c r="R17" s="88" t="str">
        <f t="shared" si="0"/>
        <v>43</v>
      </c>
      <c r="S17" s="185">
        <f t="shared" si="1"/>
        <v>1</v>
      </c>
    </row>
    <row r="18" spans="1:19" s="87" customFormat="1" ht="10.199999999999999" x14ac:dyDescent="0.2">
      <c r="A18" s="116">
        <v>14</v>
      </c>
      <c r="B18" s="138"/>
      <c r="C18" s="127"/>
      <c r="D18" s="89" t="s">
        <v>109</v>
      </c>
      <c r="E18" s="89" t="s">
        <v>111</v>
      </c>
      <c r="F18" s="128" t="s">
        <v>13</v>
      </c>
      <c r="G18" s="89" t="s">
        <v>113</v>
      </c>
      <c r="H18" s="89" t="s">
        <v>112</v>
      </c>
      <c r="I18" s="92" t="s">
        <v>39</v>
      </c>
      <c r="J18" s="91" t="s">
        <v>279</v>
      </c>
      <c r="K18" s="91" t="s">
        <v>281</v>
      </c>
      <c r="L18" s="93">
        <v>5</v>
      </c>
      <c r="M18" s="93">
        <v>2</v>
      </c>
      <c r="N18" s="93" t="str">
        <f>VLOOKUP(L18&amp;M18,Class!$T$3:$U$26,2,FALSE)</f>
        <v>ME</v>
      </c>
      <c r="O18" s="90" t="s">
        <v>283</v>
      </c>
      <c r="P18" s="110" t="s">
        <v>282</v>
      </c>
      <c r="R18" s="185" t="str">
        <f t="shared" si="0"/>
        <v>52</v>
      </c>
      <c r="S18" s="185">
        <f t="shared" si="1"/>
        <v>1</v>
      </c>
    </row>
    <row r="19" spans="1:19" s="87" customFormat="1" ht="10.199999999999999" x14ac:dyDescent="0.2">
      <c r="A19" s="116">
        <v>15</v>
      </c>
      <c r="B19" s="138"/>
      <c r="C19" s="127"/>
      <c r="D19" s="89" t="s">
        <v>114</v>
      </c>
      <c r="E19" s="89" t="s">
        <v>115</v>
      </c>
      <c r="F19" s="128"/>
      <c r="G19" s="89" t="s">
        <v>116</v>
      </c>
      <c r="H19" s="89" t="s">
        <v>132</v>
      </c>
      <c r="I19" s="92" t="s">
        <v>43</v>
      </c>
      <c r="J19" s="91" t="s">
        <v>284</v>
      </c>
      <c r="K19" s="94" t="s">
        <v>285</v>
      </c>
      <c r="L19" s="93">
        <v>4</v>
      </c>
      <c r="M19" s="93">
        <v>3</v>
      </c>
      <c r="N19" s="93" t="str">
        <f>VLOOKUP(L19&amp;M19,Class!$T$3:$U$26,2,FALSE)</f>
        <v>ME</v>
      </c>
      <c r="O19" s="91" t="s">
        <v>399</v>
      </c>
      <c r="P19" s="110" t="s">
        <v>400</v>
      </c>
      <c r="R19" s="185" t="str">
        <f t="shared" si="0"/>
        <v>43</v>
      </c>
      <c r="S19" s="185">
        <f t="shared" si="1"/>
        <v>1</v>
      </c>
    </row>
    <row r="20" spans="1:19" s="87" customFormat="1" ht="20.399999999999999" customHeight="1" x14ac:dyDescent="0.2">
      <c r="A20" s="116">
        <v>16</v>
      </c>
      <c r="B20" s="138"/>
      <c r="C20" s="127"/>
      <c r="D20" s="94" t="s">
        <v>78</v>
      </c>
      <c r="E20" s="89" t="s">
        <v>129</v>
      </c>
      <c r="F20" s="128" t="s">
        <v>12</v>
      </c>
      <c r="G20" s="89" t="s">
        <v>130</v>
      </c>
      <c r="H20" s="89" t="s">
        <v>131</v>
      </c>
      <c r="I20" s="92" t="s">
        <v>39</v>
      </c>
      <c r="J20" s="91" t="s">
        <v>286</v>
      </c>
      <c r="K20" s="91" t="s">
        <v>287</v>
      </c>
      <c r="L20" s="93">
        <v>5</v>
      </c>
      <c r="M20" s="93">
        <v>3</v>
      </c>
      <c r="N20" s="93" t="str">
        <f>VLOOKUP(L20&amp;M20,Class!$T$3:$U$26,2,FALSE)</f>
        <v>HI</v>
      </c>
      <c r="O20" s="91" t="s">
        <v>288</v>
      </c>
      <c r="P20" s="110" t="s">
        <v>401</v>
      </c>
      <c r="R20" s="185" t="str">
        <f t="shared" si="0"/>
        <v>53</v>
      </c>
      <c r="S20" s="185">
        <f t="shared" si="1"/>
        <v>1</v>
      </c>
    </row>
    <row r="21" spans="1:19" s="87" customFormat="1" ht="10.199999999999999" x14ac:dyDescent="0.2">
      <c r="A21" s="116">
        <v>17</v>
      </c>
      <c r="B21" s="138"/>
      <c r="C21" s="127"/>
      <c r="D21" s="89" t="s">
        <v>124</v>
      </c>
      <c r="E21" s="89" t="s">
        <v>126</v>
      </c>
      <c r="F21" s="128"/>
      <c r="G21" s="94" t="s">
        <v>127</v>
      </c>
      <c r="H21" s="89" t="s">
        <v>128</v>
      </c>
      <c r="I21" s="92" t="s">
        <v>43</v>
      </c>
      <c r="J21" s="91" t="s">
        <v>289</v>
      </c>
      <c r="K21" s="91" t="s">
        <v>290</v>
      </c>
      <c r="L21" s="93">
        <v>4</v>
      </c>
      <c r="M21" s="93">
        <v>2</v>
      </c>
      <c r="N21" s="93" t="str">
        <f>VLOOKUP(L21&amp;M21,Class!$T$3:$U$26,2,FALSE)</f>
        <v>MI</v>
      </c>
      <c r="O21" s="91" t="s">
        <v>291</v>
      </c>
      <c r="P21" s="110" t="s">
        <v>292</v>
      </c>
      <c r="R21" s="185" t="str">
        <f t="shared" si="0"/>
        <v>42</v>
      </c>
      <c r="S21" s="185">
        <f t="shared" si="1"/>
        <v>1</v>
      </c>
    </row>
    <row r="22" spans="1:19" s="87" customFormat="1" ht="10.199999999999999" x14ac:dyDescent="0.2">
      <c r="A22" s="116">
        <v>18</v>
      </c>
      <c r="B22" s="138"/>
      <c r="C22" s="127"/>
      <c r="D22" s="89" t="s">
        <v>121</v>
      </c>
      <c r="E22" s="89" t="s">
        <v>125</v>
      </c>
      <c r="F22" s="128"/>
      <c r="G22" s="94" t="s">
        <v>122</v>
      </c>
      <c r="H22" s="89" t="s">
        <v>123</v>
      </c>
      <c r="I22" s="92" t="s">
        <v>43</v>
      </c>
      <c r="J22" s="91" t="s">
        <v>293</v>
      </c>
      <c r="K22" s="91" t="s">
        <v>407</v>
      </c>
      <c r="L22" s="93">
        <v>4</v>
      </c>
      <c r="M22" s="93">
        <v>3</v>
      </c>
      <c r="N22" s="93" t="str">
        <f>VLOOKUP(L22&amp;M22,Class!$T$3:$U$26,2,FALSE)</f>
        <v>ME</v>
      </c>
      <c r="O22" s="90" t="s">
        <v>294</v>
      </c>
      <c r="P22" s="110" t="s">
        <v>344</v>
      </c>
      <c r="R22" s="185" t="str">
        <f t="shared" si="0"/>
        <v>43</v>
      </c>
      <c r="S22" s="185">
        <f t="shared" si="1"/>
        <v>1</v>
      </c>
    </row>
    <row r="23" spans="1:19" s="87" customFormat="1" ht="10.199999999999999" x14ac:dyDescent="0.2">
      <c r="A23" s="116">
        <v>19</v>
      </c>
      <c r="B23" s="138"/>
      <c r="C23" s="127"/>
      <c r="D23" s="89" t="s">
        <v>117</v>
      </c>
      <c r="E23" s="89" t="s">
        <v>135</v>
      </c>
      <c r="F23" s="128" t="s">
        <v>14</v>
      </c>
      <c r="G23" s="89" t="s">
        <v>133</v>
      </c>
      <c r="H23" s="89" t="s">
        <v>134</v>
      </c>
      <c r="I23" s="92" t="s">
        <v>396</v>
      </c>
      <c r="J23" s="91" t="s">
        <v>254</v>
      </c>
      <c r="K23" s="91" t="s">
        <v>295</v>
      </c>
      <c r="L23" s="93">
        <v>2</v>
      </c>
      <c r="M23" s="93">
        <v>4</v>
      </c>
      <c r="N23" s="93" t="str">
        <f>VLOOKUP(L23&amp;M23,Class!$T$3:$U$26,2,FALSE)</f>
        <v>MI</v>
      </c>
      <c r="O23" s="91" t="s">
        <v>296</v>
      </c>
      <c r="P23" s="110" t="s">
        <v>297</v>
      </c>
      <c r="R23" s="185" t="str">
        <f t="shared" si="0"/>
        <v>24</v>
      </c>
      <c r="S23" s="185">
        <f t="shared" si="1"/>
        <v>1</v>
      </c>
    </row>
    <row r="24" spans="1:19" s="87" customFormat="1" ht="10.199999999999999" x14ac:dyDescent="0.2">
      <c r="A24" s="116">
        <v>20</v>
      </c>
      <c r="B24" s="138"/>
      <c r="C24" s="127"/>
      <c r="D24" s="89" t="s">
        <v>117</v>
      </c>
      <c r="E24" s="89" t="s">
        <v>118</v>
      </c>
      <c r="F24" s="128"/>
      <c r="G24" s="89" t="s">
        <v>119</v>
      </c>
      <c r="H24" s="89" t="s">
        <v>120</v>
      </c>
      <c r="I24" s="92" t="s">
        <v>396</v>
      </c>
      <c r="J24" s="90" t="s">
        <v>259</v>
      </c>
      <c r="K24" s="90" t="s">
        <v>300</v>
      </c>
      <c r="L24" s="97">
        <v>2</v>
      </c>
      <c r="M24" s="97">
        <v>3</v>
      </c>
      <c r="N24" s="93" t="str">
        <f>VLOOKUP(L24&amp;M24,Class!$T$3:$U$26,2,FALSE)</f>
        <v>MI</v>
      </c>
      <c r="O24" s="90" t="s">
        <v>298</v>
      </c>
      <c r="P24" s="110" t="s">
        <v>299</v>
      </c>
      <c r="R24" s="185" t="str">
        <f t="shared" si="0"/>
        <v>23</v>
      </c>
      <c r="S24" s="185">
        <f t="shared" si="1"/>
        <v>1</v>
      </c>
    </row>
    <row r="25" spans="1:19" s="88" customFormat="1" ht="10.199999999999999" x14ac:dyDescent="0.2">
      <c r="A25" s="116">
        <v>21</v>
      </c>
      <c r="B25" s="138" t="s">
        <v>229</v>
      </c>
      <c r="C25" s="127" t="s">
        <v>137</v>
      </c>
      <c r="D25" s="89" t="s">
        <v>138</v>
      </c>
      <c r="E25" s="89" t="s">
        <v>139</v>
      </c>
      <c r="F25" s="128" t="s">
        <v>11</v>
      </c>
      <c r="G25" s="89" t="s">
        <v>140</v>
      </c>
      <c r="H25" s="89" t="s">
        <v>141</v>
      </c>
      <c r="I25" s="92" t="s">
        <v>396</v>
      </c>
      <c r="J25" s="90" t="s">
        <v>301</v>
      </c>
      <c r="K25" s="90" t="s">
        <v>302</v>
      </c>
      <c r="L25" s="93">
        <v>4</v>
      </c>
      <c r="M25" s="93">
        <v>2</v>
      </c>
      <c r="N25" s="93" t="str">
        <f>VLOOKUP(L25&amp;M25,Class!$T$3:$U$26,2,FALSE)</f>
        <v>MI</v>
      </c>
      <c r="O25" s="91" t="s">
        <v>303</v>
      </c>
      <c r="P25" s="109" t="s">
        <v>278</v>
      </c>
      <c r="R25" s="185" t="str">
        <f t="shared" si="0"/>
        <v>42</v>
      </c>
      <c r="S25" s="185">
        <f t="shared" si="1"/>
        <v>1</v>
      </c>
    </row>
    <row r="26" spans="1:19" s="87" customFormat="1" ht="10.199999999999999" x14ac:dyDescent="0.2">
      <c r="A26" s="116">
        <v>22</v>
      </c>
      <c r="B26" s="138"/>
      <c r="C26" s="127"/>
      <c r="D26" s="89" t="s">
        <v>156</v>
      </c>
      <c r="E26" s="89" t="s">
        <v>157</v>
      </c>
      <c r="F26" s="128"/>
      <c r="G26" s="89" t="s">
        <v>158</v>
      </c>
      <c r="H26" s="89" t="s">
        <v>159</v>
      </c>
      <c r="I26" s="92" t="s">
        <v>43</v>
      </c>
      <c r="J26" s="91" t="s">
        <v>304</v>
      </c>
      <c r="K26" s="91" t="s">
        <v>305</v>
      </c>
      <c r="L26" s="93">
        <v>4</v>
      </c>
      <c r="M26" s="93">
        <v>3</v>
      </c>
      <c r="N26" s="93" t="str">
        <f>VLOOKUP(L26&amp;M26,Class!$T$3:$U$26,2,FALSE)</f>
        <v>ME</v>
      </c>
      <c r="O26" s="91" t="s">
        <v>306</v>
      </c>
      <c r="P26" s="110" t="s">
        <v>408</v>
      </c>
      <c r="R26" s="185" t="str">
        <f t="shared" si="0"/>
        <v>43</v>
      </c>
      <c r="S26" s="185">
        <f t="shared" si="1"/>
        <v>1</v>
      </c>
    </row>
    <row r="27" spans="1:19" s="87" customFormat="1" ht="10.199999999999999" x14ac:dyDescent="0.2">
      <c r="A27" s="116">
        <v>23</v>
      </c>
      <c r="B27" s="138"/>
      <c r="C27" s="127"/>
      <c r="D27" s="89" t="s">
        <v>109</v>
      </c>
      <c r="E27" s="89" t="s">
        <v>142</v>
      </c>
      <c r="F27" s="92" t="s">
        <v>13</v>
      </c>
      <c r="G27" s="89" t="s">
        <v>414</v>
      </c>
      <c r="H27" s="89" t="s">
        <v>409</v>
      </c>
      <c r="I27" s="92" t="s">
        <v>396</v>
      </c>
      <c r="J27" s="91" t="s">
        <v>259</v>
      </c>
      <c r="K27" s="91" t="s">
        <v>307</v>
      </c>
      <c r="L27" s="93">
        <v>3</v>
      </c>
      <c r="M27" s="93">
        <v>2</v>
      </c>
      <c r="N27" s="93" t="str">
        <f>VLOOKUP(L27&amp;M27,Class!$T$3:$U$26,2,FALSE)</f>
        <v>MI</v>
      </c>
      <c r="O27" s="91" t="s">
        <v>308</v>
      </c>
      <c r="P27" s="110" t="s">
        <v>415</v>
      </c>
      <c r="R27" s="185" t="str">
        <f t="shared" si="0"/>
        <v>32</v>
      </c>
      <c r="S27" s="185">
        <f t="shared" si="1"/>
        <v>1</v>
      </c>
    </row>
    <row r="28" spans="1:19" s="87" customFormat="1" ht="20.399999999999999" x14ac:dyDescent="0.2">
      <c r="A28" s="116">
        <v>24</v>
      </c>
      <c r="B28" s="138"/>
      <c r="C28" s="127"/>
      <c r="D28" s="89" t="s">
        <v>143</v>
      </c>
      <c r="E28" s="94" t="s">
        <v>154</v>
      </c>
      <c r="F28" s="92" t="s">
        <v>12</v>
      </c>
      <c r="G28" s="89" t="s">
        <v>144</v>
      </c>
      <c r="H28" s="89" t="s">
        <v>145</v>
      </c>
      <c r="I28" s="92" t="s">
        <v>396</v>
      </c>
      <c r="J28" s="91" t="s">
        <v>309</v>
      </c>
      <c r="K28" s="91" t="s">
        <v>310</v>
      </c>
      <c r="L28" s="93">
        <v>3</v>
      </c>
      <c r="M28" s="93">
        <v>3</v>
      </c>
      <c r="N28" s="93" t="str">
        <f>VLOOKUP(L28&amp;M28,Class!$T$3:$U$26,2,FALSE)</f>
        <v>MI</v>
      </c>
      <c r="O28" s="91" t="s">
        <v>311</v>
      </c>
      <c r="P28" s="110" t="s">
        <v>410</v>
      </c>
      <c r="R28" s="185" t="str">
        <f t="shared" si="0"/>
        <v>33</v>
      </c>
      <c r="S28" s="185">
        <f t="shared" si="1"/>
        <v>1</v>
      </c>
    </row>
    <row r="29" spans="1:19" s="87" customFormat="1" ht="10.199999999999999" x14ac:dyDescent="0.2">
      <c r="A29" s="116">
        <v>25</v>
      </c>
      <c r="B29" s="138"/>
      <c r="C29" s="127"/>
      <c r="D29" s="95" t="s">
        <v>146</v>
      </c>
      <c r="E29" s="89" t="s">
        <v>147</v>
      </c>
      <c r="F29" s="128" t="s">
        <v>63</v>
      </c>
      <c r="G29" s="89" t="s">
        <v>148</v>
      </c>
      <c r="H29" s="89" t="s">
        <v>149</v>
      </c>
      <c r="I29" s="92" t="s">
        <v>396</v>
      </c>
      <c r="J29" s="91" t="s">
        <v>313</v>
      </c>
      <c r="K29" s="91" t="s">
        <v>312</v>
      </c>
      <c r="L29" s="93">
        <v>4</v>
      </c>
      <c r="M29" s="93">
        <v>2</v>
      </c>
      <c r="N29" s="93" t="str">
        <f>VLOOKUP(L29&amp;M29,Class!$T$3:$U$26,2,FALSE)</f>
        <v>MI</v>
      </c>
      <c r="O29" s="91" t="s">
        <v>411</v>
      </c>
      <c r="P29" s="110" t="s">
        <v>412</v>
      </c>
      <c r="R29" s="185" t="str">
        <f t="shared" si="0"/>
        <v>42</v>
      </c>
      <c r="S29" s="185">
        <f t="shared" si="1"/>
        <v>1</v>
      </c>
    </row>
    <row r="30" spans="1:19" s="87" customFormat="1" ht="10.199999999999999" x14ac:dyDescent="0.2">
      <c r="A30" s="116">
        <v>26</v>
      </c>
      <c r="B30" s="138"/>
      <c r="C30" s="127"/>
      <c r="D30" s="95" t="s">
        <v>62</v>
      </c>
      <c r="E30" s="89" t="s">
        <v>194</v>
      </c>
      <c r="F30" s="128"/>
      <c r="G30" s="89" t="s">
        <v>193</v>
      </c>
      <c r="H30" s="89" t="s">
        <v>195</v>
      </c>
      <c r="I30" s="92" t="s">
        <v>39</v>
      </c>
      <c r="J30" s="91" t="s">
        <v>259</v>
      </c>
      <c r="K30" s="91" t="s">
        <v>314</v>
      </c>
      <c r="L30" s="93">
        <v>4</v>
      </c>
      <c r="M30" s="93">
        <v>1</v>
      </c>
      <c r="N30" s="93" t="str">
        <f>VLOOKUP(L30&amp;M30,Class!$T$3:$U$26,2,FALSE)</f>
        <v>LO</v>
      </c>
      <c r="O30" s="91" t="s">
        <v>315</v>
      </c>
      <c r="P30" s="110" t="s">
        <v>316</v>
      </c>
      <c r="R30" s="185" t="str">
        <f t="shared" si="0"/>
        <v>41</v>
      </c>
      <c r="S30" s="185">
        <f t="shared" si="1"/>
        <v>1</v>
      </c>
    </row>
    <row r="31" spans="1:19" s="87" customFormat="1" ht="10.199999999999999" x14ac:dyDescent="0.2">
      <c r="A31" s="116">
        <v>27</v>
      </c>
      <c r="B31" s="138"/>
      <c r="C31" s="127"/>
      <c r="D31" s="89" t="s">
        <v>150</v>
      </c>
      <c r="E31" s="89" t="s">
        <v>151</v>
      </c>
      <c r="F31" s="128" t="s">
        <v>14</v>
      </c>
      <c r="G31" s="89" t="s">
        <v>152</v>
      </c>
      <c r="H31" s="89" t="s">
        <v>153</v>
      </c>
      <c r="I31" s="92" t="s">
        <v>43</v>
      </c>
      <c r="J31" s="91" t="s">
        <v>259</v>
      </c>
      <c r="K31" s="91" t="s">
        <v>317</v>
      </c>
      <c r="L31" s="93">
        <v>4</v>
      </c>
      <c r="M31" s="93">
        <v>3</v>
      </c>
      <c r="N31" s="93" t="str">
        <f>VLOOKUP(L31&amp;M31,Class!$T$3:$U$26,2,FALSE)</f>
        <v>ME</v>
      </c>
      <c r="O31" s="91" t="s">
        <v>318</v>
      </c>
      <c r="P31" s="110" t="s">
        <v>319</v>
      </c>
      <c r="R31" s="185" t="str">
        <f t="shared" si="0"/>
        <v>43</v>
      </c>
      <c r="S31" s="185">
        <f t="shared" si="1"/>
        <v>1</v>
      </c>
    </row>
    <row r="32" spans="1:19" s="87" customFormat="1" ht="10.199999999999999" x14ac:dyDescent="0.2">
      <c r="A32" s="116">
        <v>28</v>
      </c>
      <c r="B32" s="138"/>
      <c r="C32" s="127"/>
      <c r="D32" s="89" t="s">
        <v>138</v>
      </c>
      <c r="E32" s="89" t="s">
        <v>139</v>
      </c>
      <c r="F32" s="128"/>
      <c r="G32" s="89" t="s">
        <v>140</v>
      </c>
      <c r="H32" s="89" t="s">
        <v>141</v>
      </c>
      <c r="I32" s="92" t="s">
        <v>43</v>
      </c>
      <c r="J32" s="91" t="s">
        <v>301</v>
      </c>
      <c r="K32" s="91" t="s">
        <v>320</v>
      </c>
      <c r="L32" s="93">
        <v>4</v>
      </c>
      <c r="M32" s="93">
        <v>3</v>
      </c>
      <c r="N32" s="93" t="str">
        <f>VLOOKUP(L32&amp;M32,Class!$T$3:$U$26,2,FALSE)</f>
        <v>ME</v>
      </c>
      <c r="O32" s="91" t="s">
        <v>321</v>
      </c>
      <c r="P32" s="110" t="s">
        <v>322</v>
      </c>
      <c r="R32" s="185" t="str">
        <f t="shared" si="0"/>
        <v>43</v>
      </c>
      <c r="S32" s="185">
        <f t="shared" si="1"/>
        <v>1</v>
      </c>
    </row>
    <row r="33" spans="1:19" s="87" customFormat="1" ht="10.199999999999999" x14ac:dyDescent="0.2">
      <c r="A33" s="116">
        <v>29</v>
      </c>
      <c r="B33" s="138"/>
      <c r="C33" s="127"/>
      <c r="D33" s="89" t="s">
        <v>161</v>
      </c>
      <c r="E33" s="89" t="s">
        <v>413</v>
      </c>
      <c r="F33" s="128"/>
      <c r="G33" s="89" t="s">
        <v>162</v>
      </c>
      <c r="H33" s="89" t="s">
        <v>163</v>
      </c>
      <c r="I33" s="97" t="s">
        <v>396</v>
      </c>
      <c r="J33" s="90" t="s">
        <v>323</v>
      </c>
      <c r="K33" s="90" t="s">
        <v>324</v>
      </c>
      <c r="L33" s="97">
        <v>3</v>
      </c>
      <c r="M33" s="97">
        <v>3</v>
      </c>
      <c r="N33" s="93" t="str">
        <f>VLOOKUP(L33&amp;M33,Class!$T$3:$U$26,2,FALSE)</f>
        <v>MI</v>
      </c>
      <c r="O33" s="107" t="s">
        <v>326</v>
      </c>
      <c r="P33" s="110" t="s">
        <v>325</v>
      </c>
      <c r="R33" s="185" t="str">
        <f t="shared" si="0"/>
        <v>33</v>
      </c>
      <c r="S33" s="185">
        <f t="shared" si="1"/>
        <v>1</v>
      </c>
    </row>
    <row r="34" spans="1:19" s="88" customFormat="1" ht="10.199999999999999" x14ac:dyDescent="0.2">
      <c r="A34" s="116">
        <v>30</v>
      </c>
      <c r="B34" s="138" t="s">
        <v>230</v>
      </c>
      <c r="C34" s="127" t="s">
        <v>155</v>
      </c>
      <c r="D34" s="89" t="s">
        <v>164</v>
      </c>
      <c r="E34" s="89" t="s">
        <v>165</v>
      </c>
      <c r="F34" s="128" t="s">
        <v>11</v>
      </c>
      <c r="G34" s="89" t="s">
        <v>166</v>
      </c>
      <c r="H34" s="89" t="s">
        <v>167</v>
      </c>
      <c r="I34" s="97" t="s">
        <v>43</v>
      </c>
      <c r="J34" s="90" t="s">
        <v>330</v>
      </c>
      <c r="K34" s="90" t="s">
        <v>331</v>
      </c>
      <c r="L34" s="93">
        <v>4</v>
      </c>
      <c r="M34" s="93">
        <v>3</v>
      </c>
      <c r="N34" s="93" t="str">
        <f>VLOOKUP(L34&amp;M34,Class!$T$3:$U$26,2,FALSE)</f>
        <v>ME</v>
      </c>
      <c r="O34" s="90" t="s">
        <v>332</v>
      </c>
      <c r="P34" s="110" t="s">
        <v>265</v>
      </c>
      <c r="R34" s="185" t="str">
        <f t="shared" si="0"/>
        <v>43</v>
      </c>
      <c r="S34" s="185">
        <f t="shared" si="1"/>
        <v>1</v>
      </c>
    </row>
    <row r="35" spans="1:19" s="87" customFormat="1" ht="10.199999999999999" x14ac:dyDescent="0.2">
      <c r="A35" s="116">
        <v>31</v>
      </c>
      <c r="B35" s="138"/>
      <c r="C35" s="127"/>
      <c r="D35" s="89" t="s">
        <v>168</v>
      </c>
      <c r="E35" s="89" t="s">
        <v>416</v>
      </c>
      <c r="F35" s="128"/>
      <c r="G35" s="89" t="s">
        <v>169</v>
      </c>
      <c r="H35" s="89" t="s">
        <v>170</v>
      </c>
      <c r="I35" s="97" t="s">
        <v>43</v>
      </c>
      <c r="J35" s="90" t="s">
        <v>304</v>
      </c>
      <c r="K35" s="90" t="s">
        <v>333</v>
      </c>
      <c r="L35" s="93">
        <v>4</v>
      </c>
      <c r="M35" s="93">
        <v>2</v>
      </c>
      <c r="N35" s="93" t="str">
        <f>VLOOKUP(L35&amp;M35,Class!$T$3:$U$26,2,FALSE)</f>
        <v>MI</v>
      </c>
      <c r="O35" s="90" t="s">
        <v>333</v>
      </c>
      <c r="P35" s="110" t="s">
        <v>334</v>
      </c>
      <c r="R35" s="185" t="str">
        <f t="shared" si="0"/>
        <v>42</v>
      </c>
      <c r="S35" s="185">
        <f t="shared" si="1"/>
        <v>1</v>
      </c>
    </row>
    <row r="36" spans="1:19" s="87" customFormat="1" ht="10.199999999999999" x14ac:dyDescent="0.2">
      <c r="A36" s="116">
        <v>32</v>
      </c>
      <c r="B36" s="138"/>
      <c r="C36" s="127"/>
      <c r="D36" s="89" t="s">
        <v>171</v>
      </c>
      <c r="E36" s="89" t="s">
        <v>336</v>
      </c>
      <c r="F36" s="128" t="s">
        <v>13</v>
      </c>
      <c r="G36" s="89" t="s">
        <v>172</v>
      </c>
      <c r="H36" s="89" t="s">
        <v>173</v>
      </c>
      <c r="I36" s="97" t="s">
        <v>43</v>
      </c>
      <c r="J36" s="91" t="s">
        <v>259</v>
      </c>
      <c r="K36" s="90" t="s">
        <v>335</v>
      </c>
      <c r="L36" s="93">
        <v>4</v>
      </c>
      <c r="M36" s="93">
        <v>3</v>
      </c>
      <c r="N36" s="93" t="str">
        <f>VLOOKUP(L36&amp;M36,Class!$T$3:$U$26,2,FALSE)</f>
        <v>ME</v>
      </c>
      <c r="O36" s="91" t="s">
        <v>337</v>
      </c>
      <c r="P36" s="110" t="s">
        <v>338</v>
      </c>
      <c r="R36" s="185" t="str">
        <f t="shared" si="0"/>
        <v>43</v>
      </c>
      <c r="S36" s="185">
        <f t="shared" si="1"/>
        <v>1</v>
      </c>
    </row>
    <row r="37" spans="1:19" s="87" customFormat="1" ht="10.199999999999999" x14ac:dyDescent="0.2">
      <c r="A37" s="116">
        <v>33</v>
      </c>
      <c r="B37" s="138"/>
      <c r="C37" s="127"/>
      <c r="D37" s="89" t="s">
        <v>174</v>
      </c>
      <c r="E37" s="89" t="s">
        <v>175</v>
      </c>
      <c r="F37" s="128"/>
      <c r="G37" s="89" t="s">
        <v>176</v>
      </c>
      <c r="H37" s="89" t="s">
        <v>177</v>
      </c>
      <c r="I37" s="97" t="s">
        <v>43</v>
      </c>
      <c r="J37" s="91" t="s">
        <v>340</v>
      </c>
      <c r="K37" s="91" t="s">
        <v>339</v>
      </c>
      <c r="L37" s="93">
        <v>4</v>
      </c>
      <c r="M37" s="93">
        <v>3</v>
      </c>
      <c r="N37" s="93" t="str">
        <f>VLOOKUP(L37&amp;M37,Class!$T$3:$U$26,2,FALSE)</f>
        <v>ME</v>
      </c>
      <c r="O37" s="91" t="s">
        <v>341</v>
      </c>
      <c r="P37" s="110" t="s">
        <v>417</v>
      </c>
      <c r="R37" s="185" t="str">
        <f t="shared" si="0"/>
        <v>43</v>
      </c>
      <c r="S37" s="185">
        <f t="shared" si="1"/>
        <v>1</v>
      </c>
    </row>
    <row r="38" spans="1:19" s="87" customFormat="1" ht="10.199999999999999" x14ac:dyDescent="0.2">
      <c r="A38" s="116">
        <v>34</v>
      </c>
      <c r="B38" s="138"/>
      <c r="C38" s="127"/>
      <c r="D38" s="89" t="s">
        <v>178</v>
      </c>
      <c r="E38" s="94" t="s">
        <v>181</v>
      </c>
      <c r="F38" s="128" t="s">
        <v>12</v>
      </c>
      <c r="G38" s="89" t="s">
        <v>179</v>
      </c>
      <c r="H38" s="89" t="s">
        <v>180</v>
      </c>
      <c r="I38" s="97" t="s">
        <v>43</v>
      </c>
      <c r="J38" s="90" t="s">
        <v>304</v>
      </c>
      <c r="K38" s="91" t="s">
        <v>342</v>
      </c>
      <c r="L38" s="93">
        <v>4</v>
      </c>
      <c r="M38" s="93">
        <v>3</v>
      </c>
      <c r="N38" s="93" t="str">
        <f>VLOOKUP(L38&amp;M38,Class!$T$3:$U$26,2,FALSE)</f>
        <v>ME</v>
      </c>
      <c r="O38" s="91" t="s">
        <v>343</v>
      </c>
      <c r="P38" s="110" t="s">
        <v>344</v>
      </c>
      <c r="R38" s="185" t="str">
        <f t="shared" si="0"/>
        <v>43</v>
      </c>
      <c r="S38" s="185">
        <f t="shared" si="1"/>
        <v>1</v>
      </c>
    </row>
    <row r="39" spans="1:19" s="87" customFormat="1" ht="10.199999999999999" x14ac:dyDescent="0.2">
      <c r="A39" s="116">
        <v>35</v>
      </c>
      <c r="B39" s="138"/>
      <c r="C39" s="127"/>
      <c r="D39" s="89" t="s">
        <v>418</v>
      </c>
      <c r="E39" s="94" t="s">
        <v>272</v>
      </c>
      <c r="F39" s="128"/>
      <c r="G39" s="89" t="s">
        <v>273</v>
      </c>
      <c r="H39" s="89" t="s">
        <v>274</v>
      </c>
      <c r="I39" s="92" t="s">
        <v>43</v>
      </c>
      <c r="J39" s="91" t="s">
        <v>327</v>
      </c>
      <c r="K39" s="91" t="s">
        <v>328</v>
      </c>
      <c r="L39" s="93">
        <v>4</v>
      </c>
      <c r="M39" s="93">
        <v>4</v>
      </c>
      <c r="N39" s="93" t="str">
        <f>VLOOKUP(L39&amp;M39,Class!$T$3:$U$26,2,FALSE)</f>
        <v>HI</v>
      </c>
      <c r="O39" s="91" t="s">
        <v>329</v>
      </c>
      <c r="P39" s="110" t="s">
        <v>419</v>
      </c>
      <c r="R39" s="185" t="str">
        <f t="shared" si="0"/>
        <v>44</v>
      </c>
      <c r="S39" s="185">
        <f t="shared" si="1"/>
        <v>1</v>
      </c>
    </row>
    <row r="40" spans="1:19" s="87" customFormat="1" ht="20.399999999999999" x14ac:dyDescent="0.2">
      <c r="A40" s="116">
        <v>36</v>
      </c>
      <c r="B40" s="138"/>
      <c r="C40" s="127"/>
      <c r="D40" s="89" t="s">
        <v>182</v>
      </c>
      <c r="E40" s="89" t="s">
        <v>183</v>
      </c>
      <c r="F40" s="128"/>
      <c r="G40" s="89" t="s">
        <v>185</v>
      </c>
      <c r="H40" s="89" t="s">
        <v>184</v>
      </c>
      <c r="I40" s="92" t="s">
        <v>39</v>
      </c>
      <c r="J40" s="91" t="s">
        <v>346</v>
      </c>
      <c r="K40" s="91" t="s">
        <v>345</v>
      </c>
      <c r="L40" s="93">
        <v>5</v>
      </c>
      <c r="M40" s="93">
        <v>2</v>
      </c>
      <c r="N40" s="93" t="str">
        <f>VLOOKUP(L40&amp;M40,Class!$T$3:$U$26,2,FALSE)</f>
        <v>ME</v>
      </c>
      <c r="O40" s="91" t="s">
        <v>420</v>
      </c>
      <c r="P40" s="110" t="s">
        <v>421</v>
      </c>
      <c r="R40" s="185" t="str">
        <f t="shared" si="0"/>
        <v>52</v>
      </c>
      <c r="S40" s="185">
        <f t="shared" si="1"/>
        <v>1</v>
      </c>
    </row>
    <row r="41" spans="1:19" s="87" customFormat="1" ht="20.399999999999999" x14ac:dyDescent="0.2">
      <c r="A41" s="116">
        <v>37</v>
      </c>
      <c r="B41" s="138"/>
      <c r="C41" s="127"/>
      <c r="D41" s="89" t="s">
        <v>186</v>
      </c>
      <c r="E41" s="89" t="s">
        <v>187</v>
      </c>
      <c r="F41" s="92" t="s">
        <v>63</v>
      </c>
      <c r="G41" s="89" t="s">
        <v>422</v>
      </c>
      <c r="H41" s="89" t="s">
        <v>189</v>
      </c>
      <c r="I41" s="97" t="s">
        <v>43</v>
      </c>
      <c r="J41" s="90" t="s">
        <v>301</v>
      </c>
      <c r="K41" s="91" t="s">
        <v>347</v>
      </c>
      <c r="L41" s="93">
        <v>4</v>
      </c>
      <c r="M41" s="93">
        <v>3</v>
      </c>
      <c r="N41" s="93" t="str">
        <f>VLOOKUP(L41&amp;M41,Class!$T$3:$U$26,2,FALSE)</f>
        <v>ME</v>
      </c>
      <c r="O41" s="91" t="s">
        <v>348</v>
      </c>
      <c r="P41" s="110" t="s">
        <v>423</v>
      </c>
      <c r="R41" s="185" t="str">
        <f t="shared" si="0"/>
        <v>43</v>
      </c>
      <c r="S41" s="185">
        <f t="shared" si="1"/>
        <v>1</v>
      </c>
    </row>
    <row r="42" spans="1:19" s="87" customFormat="1" ht="10.199999999999999" x14ac:dyDescent="0.2">
      <c r="A42" s="116">
        <v>38</v>
      </c>
      <c r="B42" s="138"/>
      <c r="C42" s="127"/>
      <c r="D42" s="89" t="s">
        <v>190</v>
      </c>
      <c r="E42" s="89" t="s">
        <v>191</v>
      </c>
      <c r="F42" s="92" t="s">
        <v>14</v>
      </c>
      <c r="G42" s="89" t="s">
        <v>188</v>
      </c>
      <c r="H42" s="89" t="s">
        <v>192</v>
      </c>
      <c r="I42" s="97" t="s">
        <v>43</v>
      </c>
      <c r="J42" s="91" t="s">
        <v>259</v>
      </c>
      <c r="K42" s="91" t="s">
        <v>349</v>
      </c>
      <c r="L42" s="93">
        <v>4</v>
      </c>
      <c r="M42" s="93">
        <v>3</v>
      </c>
      <c r="N42" s="93" t="str">
        <f>VLOOKUP(L42&amp;M42,Class!$T$3:$U$26,2,FALSE)</f>
        <v>ME</v>
      </c>
      <c r="O42" s="91" t="s">
        <v>350</v>
      </c>
      <c r="P42" s="110" t="s">
        <v>265</v>
      </c>
      <c r="R42" s="185" t="str">
        <f t="shared" si="0"/>
        <v>43</v>
      </c>
      <c r="S42" s="185">
        <f t="shared" si="1"/>
        <v>1</v>
      </c>
    </row>
    <row r="43" spans="1:19" s="88" customFormat="1" ht="10.199999999999999" x14ac:dyDescent="0.2">
      <c r="A43" s="116">
        <v>39</v>
      </c>
      <c r="B43" s="138" t="s">
        <v>231</v>
      </c>
      <c r="C43" s="127" t="s">
        <v>223</v>
      </c>
      <c r="D43" s="89" t="s">
        <v>196</v>
      </c>
      <c r="E43" s="89" t="s">
        <v>197</v>
      </c>
      <c r="F43" s="128" t="s">
        <v>11</v>
      </c>
      <c r="G43" s="89" t="s">
        <v>198</v>
      </c>
      <c r="H43" s="89" t="s">
        <v>199</v>
      </c>
      <c r="I43" s="92" t="s">
        <v>43</v>
      </c>
      <c r="J43" s="91" t="s">
        <v>301</v>
      </c>
      <c r="K43" s="90" t="s">
        <v>351</v>
      </c>
      <c r="L43" s="93">
        <v>4</v>
      </c>
      <c r="M43" s="93">
        <v>3</v>
      </c>
      <c r="N43" s="93" t="str">
        <f>VLOOKUP(L43&amp;M43,Class!$T$3:$U$26,2,FALSE)</f>
        <v>ME</v>
      </c>
      <c r="O43" s="91" t="s">
        <v>277</v>
      </c>
      <c r="P43" s="110" t="s">
        <v>424</v>
      </c>
      <c r="R43" s="185" t="str">
        <f t="shared" si="0"/>
        <v>43</v>
      </c>
      <c r="S43" s="185">
        <f t="shared" si="1"/>
        <v>1</v>
      </c>
    </row>
    <row r="44" spans="1:19" s="87" customFormat="1" ht="10.199999999999999" x14ac:dyDescent="0.2">
      <c r="A44" s="116">
        <v>40</v>
      </c>
      <c r="B44" s="138"/>
      <c r="C44" s="127"/>
      <c r="D44" s="89" t="s">
        <v>200</v>
      </c>
      <c r="E44" s="89" t="s">
        <v>201</v>
      </c>
      <c r="F44" s="128"/>
      <c r="G44" s="89" t="s">
        <v>202</v>
      </c>
      <c r="H44" s="89" t="s">
        <v>203</v>
      </c>
      <c r="I44" s="92" t="s">
        <v>43</v>
      </c>
      <c r="J44" s="90" t="s">
        <v>304</v>
      </c>
      <c r="K44" s="90" t="s">
        <v>352</v>
      </c>
      <c r="L44" s="93">
        <v>4</v>
      </c>
      <c r="M44" s="93">
        <v>2</v>
      </c>
      <c r="N44" s="93" t="str">
        <f>VLOOKUP(L44&amp;M44,Class!$T$3:$U$26,2,FALSE)</f>
        <v>MI</v>
      </c>
      <c r="O44" s="90" t="s">
        <v>353</v>
      </c>
      <c r="P44" s="110" t="s">
        <v>425</v>
      </c>
      <c r="R44" s="185" t="str">
        <f t="shared" si="0"/>
        <v>42</v>
      </c>
      <c r="S44" s="185">
        <f t="shared" si="1"/>
        <v>1</v>
      </c>
    </row>
    <row r="45" spans="1:19" s="87" customFormat="1" ht="10.199999999999999" x14ac:dyDescent="0.2">
      <c r="A45" s="116">
        <v>41</v>
      </c>
      <c r="B45" s="138"/>
      <c r="C45" s="127"/>
      <c r="D45" s="89" t="s">
        <v>204</v>
      </c>
      <c r="E45" s="89" t="s">
        <v>205</v>
      </c>
      <c r="F45" s="128" t="s">
        <v>13</v>
      </c>
      <c r="G45" s="89" t="s">
        <v>206</v>
      </c>
      <c r="H45" s="89" t="s">
        <v>207</v>
      </c>
      <c r="I45" s="92" t="s">
        <v>43</v>
      </c>
      <c r="J45" s="91" t="s">
        <v>354</v>
      </c>
      <c r="K45" s="91" t="s">
        <v>280</v>
      </c>
      <c r="L45" s="93">
        <v>5</v>
      </c>
      <c r="M45" s="93">
        <v>2</v>
      </c>
      <c r="N45" s="93" t="str">
        <f>VLOOKUP(L45&amp;M45,Class!$T$3:$U$26,2,FALSE)</f>
        <v>ME</v>
      </c>
      <c r="O45" s="91" t="s">
        <v>355</v>
      </c>
      <c r="P45" s="110" t="s">
        <v>356</v>
      </c>
      <c r="R45" s="185" t="str">
        <f t="shared" si="0"/>
        <v>52</v>
      </c>
      <c r="S45" s="185">
        <f t="shared" si="1"/>
        <v>1</v>
      </c>
    </row>
    <row r="46" spans="1:19" s="87" customFormat="1" ht="10.199999999999999" x14ac:dyDescent="0.2">
      <c r="A46" s="116">
        <v>42</v>
      </c>
      <c r="B46" s="138"/>
      <c r="C46" s="127"/>
      <c r="D46" s="89" t="s">
        <v>208</v>
      </c>
      <c r="E46" s="89" t="s">
        <v>209</v>
      </c>
      <c r="F46" s="128"/>
      <c r="G46" s="89" t="s">
        <v>210</v>
      </c>
      <c r="H46" s="89" t="s">
        <v>211</v>
      </c>
      <c r="I46" s="92" t="s">
        <v>43</v>
      </c>
      <c r="J46" s="91" t="s">
        <v>357</v>
      </c>
      <c r="K46" s="91" t="s">
        <v>358</v>
      </c>
      <c r="L46" s="93">
        <v>5</v>
      </c>
      <c r="M46" s="93">
        <v>3</v>
      </c>
      <c r="N46" s="93" t="str">
        <f>VLOOKUP(L46&amp;M46,Class!$T$3:$U$26,2,FALSE)</f>
        <v>HI</v>
      </c>
      <c r="O46" s="91" t="s">
        <v>360</v>
      </c>
      <c r="P46" s="110" t="s">
        <v>426</v>
      </c>
      <c r="R46" s="185" t="str">
        <f t="shared" si="0"/>
        <v>53</v>
      </c>
      <c r="S46" s="185">
        <f t="shared" si="1"/>
        <v>1</v>
      </c>
    </row>
    <row r="47" spans="1:19" s="87" customFormat="1" ht="10.199999999999999" x14ac:dyDescent="0.2">
      <c r="A47" s="116">
        <v>43</v>
      </c>
      <c r="B47" s="138"/>
      <c r="C47" s="127"/>
      <c r="D47" s="89" t="s">
        <v>212</v>
      </c>
      <c r="E47" s="89" t="s">
        <v>213</v>
      </c>
      <c r="F47" s="128" t="s">
        <v>12</v>
      </c>
      <c r="G47" s="89" t="s">
        <v>214</v>
      </c>
      <c r="H47" s="89" t="s">
        <v>215</v>
      </c>
      <c r="I47" s="92" t="s">
        <v>39</v>
      </c>
      <c r="J47" s="91" t="s">
        <v>286</v>
      </c>
      <c r="K47" s="91" t="s">
        <v>243</v>
      </c>
      <c r="L47" s="93">
        <v>5</v>
      </c>
      <c r="M47" s="93">
        <v>3</v>
      </c>
      <c r="N47" s="93" t="str">
        <f>VLOOKUP(L47&amp;M47,Class!$T$3:$U$26,2,FALSE)</f>
        <v>HI</v>
      </c>
      <c r="O47" s="91" t="s">
        <v>361</v>
      </c>
      <c r="P47" s="110" t="s">
        <v>359</v>
      </c>
      <c r="R47" s="185" t="str">
        <f t="shared" si="0"/>
        <v>53</v>
      </c>
      <c r="S47" s="185">
        <f t="shared" si="1"/>
        <v>1</v>
      </c>
    </row>
    <row r="48" spans="1:19" s="87" customFormat="1" ht="10.199999999999999" x14ac:dyDescent="0.2">
      <c r="A48" s="116">
        <v>44</v>
      </c>
      <c r="B48" s="138"/>
      <c r="C48" s="127"/>
      <c r="D48" s="89" t="s">
        <v>216</v>
      </c>
      <c r="E48" s="89" t="s">
        <v>217</v>
      </c>
      <c r="F48" s="128"/>
      <c r="G48" s="89" t="s">
        <v>218</v>
      </c>
      <c r="H48" s="89" t="s">
        <v>219</v>
      </c>
      <c r="I48" s="92" t="s">
        <v>396</v>
      </c>
      <c r="J48" s="91" t="s">
        <v>362</v>
      </c>
      <c r="K48" s="91" t="s">
        <v>363</v>
      </c>
      <c r="L48" s="93">
        <v>4</v>
      </c>
      <c r="M48" s="93">
        <v>3</v>
      </c>
      <c r="N48" s="93" t="str">
        <f>VLOOKUP(L48&amp;M48,Class!$T$3:$U$26,2,FALSE)</f>
        <v>ME</v>
      </c>
      <c r="O48" s="91" t="s">
        <v>364</v>
      </c>
      <c r="P48" s="110" t="s">
        <v>427</v>
      </c>
      <c r="R48" s="185" t="str">
        <f t="shared" si="0"/>
        <v>43</v>
      </c>
      <c r="S48" s="185">
        <f t="shared" si="1"/>
        <v>1</v>
      </c>
    </row>
    <row r="49" spans="1:19" s="87" customFormat="1" ht="19.8" customHeight="1" x14ac:dyDescent="0.2">
      <c r="A49" s="116">
        <v>45</v>
      </c>
      <c r="B49" s="138"/>
      <c r="C49" s="127"/>
      <c r="D49" s="89" t="s">
        <v>224</v>
      </c>
      <c r="E49" s="89" t="s">
        <v>225</v>
      </c>
      <c r="F49" s="128" t="s">
        <v>14</v>
      </c>
      <c r="G49" s="89" t="s">
        <v>226</v>
      </c>
      <c r="H49" s="89" t="s">
        <v>232</v>
      </c>
      <c r="I49" s="92" t="s">
        <v>39</v>
      </c>
      <c r="J49" s="91" t="s">
        <v>286</v>
      </c>
      <c r="K49" s="91" t="s">
        <v>227</v>
      </c>
      <c r="L49" s="93">
        <v>5</v>
      </c>
      <c r="M49" s="93">
        <v>2</v>
      </c>
      <c r="N49" s="93" t="str">
        <f>VLOOKUP(L49&amp;M49,Class!$T$3:$U$26,2,FALSE)</f>
        <v>ME</v>
      </c>
      <c r="O49" s="91" t="s">
        <v>428</v>
      </c>
      <c r="P49" s="110" t="s">
        <v>365</v>
      </c>
      <c r="R49" s="185" t="str">
        <f t="shared" si="0"/>
        <v>52</v>
      </c>
      <c r="S49" s="185">
        <f t="shared" si="1"/>
        <v>1</v>
      </c>
    </row>
    <row r="50" spans="1:19" s="87" customFormat="1" ht="10.8" thickBot="1" x14ac:dyDescent="0.25">
      <c r="A50" s="117">
        <v>46</v>
      </c>
      <c r="B50" s="139"/>
      <c r="C50" s="140"/>
      <c r="D50" s="111" t="s">
        <v>220</v>
      </c>
      <c r="E50" s="111" t="s">
        <v>221</v>
      </c>
      <c r="F50" s="129"/>
      <c r="G50" s="111" t="s">
        <v>222</v>
      </c>
      <c r="H50" s="111" t="s">
        <v>203</v>
      </c>
      <c r="I50" s="112" t="s">
        <v>43</v>
      </c>
      <c r="J50" s="113" t="s">
        <v>304</v>
      </c>
      <c r="K50" s="113" t="s">
        <v>368</v>
      </c>
      <c r="L50" s="114">
        <v>4</v>
      </c>
      <c r="M50" s="114">
        <v>3</v>
      </c>
      <c r="N50" s="114" t="str">
        <f>VLOOKUP(L50&amp;M50,Class!$T$3:$U$26,2,FALSE)</f>
        <v>ME</v>
      </c>
      <c r="O50" s="113" t="s">
        <v>367</v>
      </c>
      <c r="P50" s="115" t="s">
        <v>366</v>
      </c>
      <c r="R50" s="185" t="str">
        <f t="shared" si="0"/>
        <v>43</v>
      </c>
      <c r="S50" s="185">
        <f t="shared" si="1"/>
        <v>1</v>
      </c>
    </row>
    <row r="51" spans="1:19" ht="15" thickBot="1" x14ac:dyDescent="0.35">
      <c r="R51" s="96" t="str">
        <f t="shared" si="0"/>
        <v/>
      </c>
      <c r="S51" s="96"/>
    </row>
    <row r="52" spans="1:19" ht="15" thickBot="1" x14ac:dyDescent="0.35">
      <c r="A52" s="121" t="s">
        <v>380</v>
      </c>
      <c r="R52" s="96" t="str">
        <f t="shared" si="0"/>
        <v/>
      </c>
      <c r="S52" s="96"/>
    </row>
    <row r="53" spans="1:19" x14ac:dyDescent="0.3">
      <c r="A53" s="118" t="s">
        <v>378</v>
      </c>
      <c r="B53" s="136" t="s">
        <v>379</v>
      </c>
      <c r="C53" s="137"/>
      <c r="R53" s="96" t="str">
        <f t="shared" si="0"/>
        <v/>
      </c>
      <c r="S53" s="96"/>
    </row>
    <row r="54" spans="1:19" x14ac:dyDescent="0.3">
      <c r="A54" s="119" t="s">
        <v>374</v>
      </c>
      <c r="B54" s="130" t="s">
        <v>375</v>
      </c>
      <c r="C54" s="131"/>
      <c r="R54" s="96" t="str">
        <f t="shared" si="0"/>
        <v/>
      </c>
      <c r="S54" s="96"/>
    </row>
    <row r="55" spans="1:19" x14ac:dyDescent="0.3">
      <c r="A55" s="119" t="s">
        <v>376</v>
      </c>
      <c r="B55" s="130" t="s">
        <v>377</v>
      </c>
      <c r="C55" s="131"/>
      <c r="R55" s="96" t="str">
        <f t="shared" si="0"/>
        <v/>
      </c>
      <c r="S55" s="96"/>
    </row>
    <row r="56" spans="1:19" ht="15" thickBot="1" x14ac:dyDescent="0.35">
      <c r="A56" s="120" t="s">
        <v>286</v>
      </c>
      <c r="B56" s="132" t="s">
        <v>373</v>
      </c>
      <c r="C56" s="133"/>
      <c r="S56" s="96"/>
    </row>
    <row r="57" spans="1:19" x14ac:dyDescent="0.3">
      <c r="S57" s="96"/>
    </row>
    <row r="58" spans="1:19" x14ac:dyDescent="0.3">
      <c r="S58" s="96"/>
    </row>
    <row r="59" spans="1:19" x14ac:dyDescent="0.3">
      <c r="S59" s="96"/>
    </row>
    <row r="60" spans="1:19" x14ac:dyDescent="0.3">
      <c r="S60" s="96"/>
    </row>
    <row r="61" spans="1:19" x14ac:dyDescent="0.3">
      <c r="S61" s="96"/>
    </row>
  </sheetData>
  <mergeCells count="34">
    <mergeCell ref="B55:C55"/>
    <mergeCell ref="B56:C56"/>
    <mergeCell ref="B2:C2"/>
    <mergeCell ref="B3:C3"/>
    <mergeCell ref="A1:E1"/>
    <mergeCell ref="B53:C53"/>
    <mergeCell ref="B54:C54"/>
    <mergeCell ref="B43:B50"/>
    <mergeCell ref="C43:C50"/>
    <mergeCell ref="C34:C42"/>
    <mergeCell ref="B34:B42"/>
    <mergeCell ref="B25:B33"/>
    <mergeCell ref="C25:C33"/>
    <mergeCell ref="B5:B16"/>
    <mergeCell ref="C5:C16"/>
    <mergeCell ref="B17:B24"/>
    <mergeCell ref="F38:F40"/>
    <mergeCell ref="F43:F44"/>
    <mergeCell ref="F45:F46"/>
    <mergeCell ref="F47:F48"/>
    <mergeCell ref="F49:F50"/>
    <mergeCell ref="C17:C24"/>
    <mergeCell ref="F36:F37"/>
    <mergeCell ref="F5:F6"/>
    <mergeCell ref="F7:F9"/>
    <mergeCell ref="F10:F12"/>
    <mergeCell ref="F14:F16"/>
    <mergeCell ref="F18:F19"/>
    <mergeCell ref="F20:F22"/>
    <mergeCell ref="F23:F24"/>
    <mergeCell ref="F25:F26"/>
    <mergeCell ref="F29:F30"/>
    <mergeCell ref="F31:F33"/>
    <mergeCell ref="F34:F35"/>
  </mergeCells>
  <conditionalFormatting sqref="I5:I50">
    <cfRule type="cellIs" dxfId="14" priority="1" operator="equal">
      <formula>"Major"</formula>
    </cfRule>
    <cfRule type="cellIs" dxfId="13" priority="2" operator="equal">
      <formula>"Critical"</formula>
    </cfRule>
    <cfRule type="cellIs" dxfId="12" priority="3" operator="equal">
      <formula>"Minor"</formula>
    </cfRule>
  </conditionalFormatting>
  <conditionalFormatting sqref="M1:M4">
    <cfRule type="cellIs" dxfId="11" priority="30" operator="equal">
      <formula>4</formula>
    </cfRule>
  </conditionalFormatting>
  <conditionalFormatting sqref="M2:M3">
    <cfRule type="cellIs" dxfId="10" priority="32" operator="greaterThan">
      <formula>3</formula>
    </cfRule>
  </conditionalFormatting>
  <conditionalFormatting sqref="N5:N50">
    <cfRule type="cellIs" dxfId="9" priority="4" operator="equal">
      <formula>"VH"</formula>
    </cfRule>
    <cfRule type="cellIs" dxfId="8" priority="5" operator="equal">
      <formula>"LO"</formula>
    </cfRule>
    <cfRule type="cellIs" dxfId="7" priority="6" operator="equal">
      <formula>"HI"</formula>
    </cfRule>
    <cfRule type="cellIs" dxfId="6" priority="7" operator="equal">
      <formula>"ME"</formula>
    </cfRule>
    <cfRule type="cellIs" dxfId="5" priority="8" operator="equal">
      <formula>"MI"</formula>
    </cfRule>
    <cfRule type="cellIs" dxfId="4" priority="9" operator="equal">
      <formula>"TBD"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3A65A-1207-42AE-85C7-0FF7FB5109A3}">
  <dimension ref="A1:W29"/>
  <sheetViews>
    <sheetView workbookViewId="0">
      <selection activeCell="E34" sqref="E34"/>
    </sheetView>
  </sheetViews>
  <sheetFormatPr defaultColWidth="31.44140625" defaultRowHeight="14.4" x14ac:dyDescent="0.3"/>
  <cols>
    <col min="1" max="1" width="4.44140625" customWidth="1"/>
    <col min="2" max="2" width="3.33203125" customWidth="1"/>
    <col min="3" max="3" width="8.109375" customWidth="1"/>
    <col min="4" max="4" width="30.6640625" bestFit="1" customWidth="1"/>
    <col min="5" max="5" width="27.88671875" style="86" customWidth="1"/>
    <col min="6" max="6" width="5.44140625" customWidth="1"/>
    <col min="7" max="7" width="4.44140625" customWidth="1"/>
    <col min="8" max="8" width="3.33203125" customWidth="1"/>
    <col min="9" max="9" width="6.109375" customWidth="1"/>
    <col min="10" max="10" width="7.6640625" customWidth="1"/>
    <col min="11" max="15" width="6.109375" customWidth="1"/>
    <col min="16" max="17" width="4.109375" customWidth="1"/>
    <col min="18" max="21" width="5.44140625" style="7" customWidth="1"/>
    <col min="22" max="22" width="8.109375" customWidth="1"/>
    <col min="23" max="23" width="14.33203125" customWidth="1"/>
  </cols>
  <sheetData>
    <row r="1" spans="1:23" ht="15" thickBot="1" x14ac:dyDescent="0.35">
      <c r="A1" s="16"/>
      <c r="B1" s="9"/>
      <c r="C1" s="9"/>
      <c r="D1" s="9"/>
      <c r="E1" s="10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1"/>
      <c r="R1" s="17"/>
      <c r="S1" s="17"/>
      <c r="T1" s="17"/>
    </row>
    <row r="2" spans="1:23" ht="15" thickBot="1" x14ac:dyDescent="0.35">
      <c r="A2" s="18"/>
      <c r="B2" s="19"/>
      <c r="C2" s="150" t="s">
        <v>17</v>
      </c>
      <c r="D2" s="150"/>
      <c r="E2" s="150"/>
      <c r="F2" s="20"/>
      <c r="G2" s="12"/>
      <c r="H2" s="21"/>
      <c r="I2" s="22"/>
      <c r="J2" s="22"/>
      <c r="K2" s="22"/>
      <c r="L2" s="22"/>
      <c r="M2" s="22"/>
      <c r="N2" s="22"/>
      <c r="O2" s="22"/>
      <c r="P2" s="23"/>
      <c r="Q2" s="13"/>
      <c r="R2" s="24" t="s">
        <v>47</v>
      </c>
      <c r="S2" s="25" t="s">
        <v>48</v>
      </c>
      <c r="T2" s="25" t="s">
        <v>49</v>
      </c>
      <c r="U2" s="26" t="s">
        <v>50</v>
      </c>
      <c r="W2" s="7"/>
    </row>
    <row r="3" spans="1:23" ht="15" thickBot="1" x14ac:dyDescent="0.35">
      <c r="A3" s="18"/>
      <c r="B3" s="27"/>
      <c r="C3" s="151"/>
      <c r="D3" s="151"/>
      <c r="E3" s="151"/>
      <c r="F3" s="28"/>
      <c r="G3" s="12"/>
      <c r="H3" s="29"/>
      <c r="I3" s="141" t="s">
        <v>18</v>
      </c>
      <c r="J3" s="142"/>
      <c r="K3" s="144" t="s">
        <v>19</v>
      </c>
      <c r="L3" s="145"/>
      <c r="M3" s="145"/>
      <c r="N3" s="145"/>
      <c r="O3" s="146"/>
      <c r="P3" s="30"/>
      <c r="Q3" s="13"/>
      <c r="R3" s="31">
        <f>K4</f>
        <v>1</v>
      </c>
      <c r="S3" s="32">
        <f>J5</f>
        <v>5</v>
      </c>
      <c r="T3" s="33" t="str">
        <f>R3&amp;S3</f>
        <v>15</v>
      </c>
      <c r="U3" s="34" t="s">
        <v>51</v>
      </c>
      <c r="W3" s="35"/>
    </row>
    <row r="4" spans="1:23" ht="15" thickBot="1" x14ac:dyDescent="0.35">
      <c r="A4" s="18"/>
      <c r="B4" s="12"/>
      <c r="C4" s="12"/>
      <c r="D4" s="12"/>
      <c r="E4" s="36"/>
      <c r="F4" s="12"/>
      <c r="G4" s="12"/>
      <c r="H4" s="29"/>
      <c r="I4" s="143"/>
      <c r="J4" s="141"/>
      <c r="K4" s="37">
        <v>1</v>
      </c>
      <c r="L4" s="38">
        <v>2</v>
      </c>
      <c r="M4" s="38">
        <v>3</v>
      </c>
      <c r="N4" s="38">
        <v>4</v>
      </c>
      <c r="O4" s="39">
        <v>5</v>
      </c>
      <c r="P4" s="30"/>
      <c r="Q4" s="13"/>
      <c r="R4" s="31">
        <f>L4</f>
        <v>2</v>
      </c>
      <c r="S4" s="32">
        <f>S3</f>
        <v>5</v>
      </c>
      <c r="T4" s="33" t="str">
        <f t="shared" ref="T4:T27" si="0">R4&amp;S4</f>
        <v>25</v>
      </c>
      <c r="U4" s="40" t="s">
        <v>52</v>
      </c>
    </row>
    <row r="5" spans="1:23" x14ac:dyDescent="0.3">
      <c r="A5" s="18"/>
      <c r="B5" s="21"/>
      <c r="C5" s="22"/>
      <c r="D5" s="22"/>
      <c r="E5" s="41"/>
      <c r="F5" s="42" t="s">
        <v>20</v>
      </c>
      <c r="G5" s="12"/>
      <c r="H5" s="29"/>
      <c r="I5" s="147" t="s">
        <v>21</v>
      </c>
      <c r="J5" s="43">
        <v>5</v>
      </c>
      <c r="K5" s="44">
        <f>SUMIF(FMEA!$R:$R,Class!K$4&amp;Class!$J5,FMEA!$S:$S)</f>
        <v>0</v>
      </c>
      <c r="L5" s="44">
        <f>SUMIF(FMEA!$R:$R,Class!L$4&amp;Class!$J5,FMEA!$S:$S)</f>
        <v>0</v>
      </c>
      <c r="M5" s="44">
        <f>SUMIF(FMEA!$R:$R,Class!M$4&amp;Class!$J5,FMEA!$S:$S)</f>
        <v>0</v>
      </c>
      <c r="N5" s="44">
        <f>SUMIF(FMEA!$R:$R,Class!N$4&amp;Class!$J5,FMEA!$S:$S)</f>
        <v>0</v>
      </c>
      <c r="O5" s="44">
        <f>SUMIF(FMEA!$R:$R,Class!O$4&amp;Class!$J5,FMEA!$S:$S)</f>
        <v>0</v>
      </c>
      <c r="P5" s="30"/>
      <c r="Q5" s="45"/>
      <c r="R5" s="31">
        <f>M4</f>
        <v>3</v>
      </c>
      <c r="S5" s="32">
        <f>S4</f>
        <v>5</v>
      </c>
      <c r="T5" s="33" t="str">
        <f t="shared" si="0"/>
        <v>35</v>
      </c>
      <c r="U5" s="46" t="s">
        <v>53</v>
      </c>
    </row>
    <row r="6" spans="1:23" ht="15.6" x14ac:dyDescent="0.3">
      <c r="A6" s="18"/>
      <c r="B6" s="29"/>
      <c r="C6" s="47" t="s">
        <v>21</v>
      </c>
      <c r="D6" s="12"/>
      <c r="E6" s="36"/>
      <c r="F6" s="48"/>
      <c r="G6" s="12"/>
      <c r="H6" s="29"/>
      <c r="I6" s="148"/>
      <c r="J6" s="49">
        <v>4</v>
      </c>
      <c r="K6" s="50">
        <f>SUMIF(FMEA!$R:$R,Class!K$4&amp;Class!$J6,FMEA!$S:$S)</f>
        <v>0</v>
      </c>
      <c r="L6" s="34">
        <f>SUMIF(FMEA!$R:$R,Class!L$4&amp;Class!$J6,FMEA!$S:$S)</f>
        <v>2</v>
      </c>
      <c r="M6" s="105">
        <f>SUMIF(FMEA!$R:$R,Class!M$4&amp;Class!$J6,FMEA!$S:$S)</f>
        <v>0</v>
      </c>
      <c r="N6" s="46">
        <f>SUMIF(FMEA!$R:$R,Class!N$4&amp;Class!$J6,FMEA!$S:$S)</f>
        <v>2</v>
      </c>
      <c r="O6" s="99">
        <f>SUMIF(FMEA!$R:$R,Class!O$4&amp;Class!$J6,FMEA!$S:$S)</f>
        <v>0</v>
      </c>
      <c r="P6" s="30"/>
      <c r="Q6" s="45"/>
      <c r="R6" s="31">
        <f>N4</f>
        <v>4</v>
      </c>
      <c r="S6" s="32">
        <f>S5</f>
        <v>5</v>
      </c>
      <c r="T6" s="33" t="str">
        <f t="shared" si="0"/>
        <v>45</v>
      </c>
      <c r="U6" s="51" t="s">
        <v>54</v>
      </c>
    </row>
    <row r="7" spans="1:23" ht="15" thickBot="1" x14ac:dyDescent="0.35">
      <c r="A7" s="18"/>
      <c r="B7" s="29"/>
      <c r="C7" s="12"/>
      <c r="D7" s="12"/>
      <c r="E7" s="36"/>
      <c r="F7" s="48"/>
      <c r="G7" s="12"/>
      <c r="H7" s="29"/>
      <c r="I7" s="148"/>
      <c r="J7" s="49">
        <v>3</v>
      </c>
      <c r="K7" s="101">
        <f>SUMIF(FMEA!$R:$R,Class!K$4&amp;Class!$J7,FMEA!$S:$S)</f>
        <v>0</v>
      </c>
      <c r="L7" s="34">
        <f>SUMIF(FMEA!$R:$R,Class!L$4&amp;Class!$J7,FMEA!$S:$S)</f>
        <v>2</v>
      </c>
      <c r="M7" s="34">
        <f>SUMIF(FMEA!$R:$R,Class!M$4&amp;Class!$J7,FMEA!$S:$S)</f>
        <v>2</v>
      </c>
      <c r="N7" s="105">
        <f>SUMIF(FMEA!$R:$R,Class!N$4&amp;Class!$J7,FMEA!$S:$S)</f>
        <v>21</v>
      </c>
      <c r="O7" s="100">
        <f>SUMIF(FMEA!$R:$R,Class!O$4&amp;Class!$J7,FMEA!$S:$S)</f>
        <v>4</v>
      </c>
      <c r="P7" s="30"/>
      <c r="Q7" s="45"/>
      <c r="R7" s="31">
        <f>O4</f>
        <v>5</v>
      </c>
      <c r="S7" s="32">
        <f>S6</f>
        <v>5</v>
      </c>
      <c r="T7" s="33" t="str">
        <f t="shared" si="0"/>
        <v>55</v>
      </c>
      <c r="U7" s="51" t="s">
        <v>54</v>
      </c>
    </row>
    <row r="8" spans="1:23" ht="15" thickBot="1" x14ac:dyDescent="0.35">
      <c r="A8" s="18"/>
      <c r="B8" s="29"/>
      <c r="C8" s="52" t="s">
        <v>22</v>
      </c>
      <c r="D8" s="53" t="s">
        <v>23</v>
      </c>
      <c r="E8" s="54" t="s">
        <v>24</v>
      </c>
      <c r="F8" s="48"/>
      <c r="G8" s="12"/>
      <c r="H8" s="29"/>
      <c r="I8" s="148"/>
      <c r="J8" s="49">
        <v>2</v>
      </c>
      <c r="K8" s="101">
        <f>SUMIF(FMEA!$R:$R,Class!K$4&amp;Class!$J8,FMEA!$S:$S)</f>
        <v>0</v>
      </c>
      <c r="L8" s="103">
        <f>SUMIF(FMEA!$R:$R,Class!L$4&amp;Class!$J8,FMEA!$S:$S)</f>
        <v>0</v>
      </c>
      <c r="M8" s="34">
        <f>SUMIF(FMEA!$R:$R,Class!M$4&amp;Class!$J8,FMEA!$S:$S)</f>
        <v>1</v>
      </c>
      <c r="N8" s="34">
        <f>SUMIF(FMEA!$R:$R,Class!N$4&amp;Class!$J8,FMEA!$S:$S)</f>
        <v>6</v>
      </c>
      <c r="O8" s="106">
        <f>SUMIF(FMEA!$R:$R,Class!O$4&amp;Class!$J8,FMEA!$S:$S)</f>
        <v>5</v>
      </c>
      <c r="P8" s="30"/>
      <c r="Q8" s="45"/>
      <c r="R8" s="31">
        <f t="shared" ref="R8:R22" si="1">R3</f>
        <v>1</v>
      </c>
      <c r="S8" s="32">
        <f>J6</f>
        <v>4</v>
      </c>
      <c r="T8" s="33" t="str">
        <f t="shared" si="0"/>
        <v>14</v>
      </c>
      <c r="U8" s="34" t="s">
        <v>51</v>
      </c>
    </row>
    <row r="9" spans="1:23" ht="16.8" thickBot="1" x14ac:dyDescent="0.35">
      <c r="A9" s="18"/>
      <c r="B9" s="29"/>
      <c r="C9" s="55">
        <v>5</v>
      </c>
      <c r="D9" s="56" t="s">
        <v>25</v>
      </c>
      <c r="E9" s="57" t="s">
        <v>55</v>
      </c>
      <c r="F9" s="48"/>
      <c r="G9" s="12"/>
      <c r="H9" s="29"/>
      <c r="I9" s="149"/>
      <c r="J9" s="58">
        <v>1</v>
      </c>
      <c r="K9" s="102">
        <f>SUMIF(FMEA!$R:$R,Class!K$4&amp;Class!$J9,FMEA!$S:$S)</f>
        <v>0</v>
      </c>
      <c r="L9" s="104">
        <f>SUMIF(FMEA!$R:$R,Class!L$4&amp;Class!$J9,FMEA!$S:$S)</f>
        <v>0</v>
      </c>
      <c r="M9" s="104">
        <f>SUMIF(FMEA!$R:$R,Class!M$4&amp;Class!$J9,FMEA!$S:$S)</f>
        <v>0</v>
      </c>
      <c r="N9" s="104">
        <f>SUMIF(FMEA!$R:$R,Class!N$4&amp;Class!$J9,FMEA!$S:$S)</f>
        <v>1</v>
      </c>
      <c r="O9" s="98">
        <f>SUMIF(FMEA!$R:$R,Class!O$4&amp;Class!$J9,FMEA!$S:$S)</f>
        <v>0</v>
      </c>
      <c r="P9" s="30"/>
      <c r="Q9" s="45"/>
      <c r="R9" s="31">
        <f t="shared" si="1"/>
        <v>2</v>
      </c>
      <c r="S9" s="32">
        <f>S8</f>
        <v>4</v>
      </c>
      <c r="T9" s="33" t="str">
        <f t="shared" si="0"/>
        <v>24</v>
      </c>
      <c r="U9" s="34" t="s">
        <v>51</v>
      </c>
    </row>
    <row r="10" spans="1:23" ht="16.8" thickBot="1" x14ac:dyDescent="0.35">
      <c r="A10" s="18"/>
      <c r="B10" s="29"/>
      <c r="C10" s="59">
        <v>4</v>
      </c>
      <c r="D10" s="60" t="s">
        <v>26</v>
      </c>
      <c r="E10" s="61" t="s">
        <v>56</v>
      </c>
      <c r="F10" s="48"/>
      <c r="G10" s="12"/>
      <c r="H10" s="29"/>
      <c r="I10" s="12"/>
      <c r="J10" s="12"/>
      <c r="K10" s="12"/>
      <c r="L10" s="12"/>
      <c r="M10" s="12"/>
      <c r="N10" s="12"/>
      <c r="O10" s="12"/>
      <c r="P10" s="30"/>
      <c r="Q10" s="45"/>
      <c r="R10" s="31">
        <f t="shared" si="1"/>
        <v>3</v>
      </c>
      <c r="S10" s="32">
        <f>S9</f>
        <v>4</v>
      </c>
      <c r="T10" s="33" t="str">
        <f t="shared" si="0"/>
        <v>34</v>
      </c>
      <c r="U10" s="40" t="s">
        <v>52</v>
      </c>
    </row>
    <row r="11" spans="1:23" ht="16.8" thickBot="1" x14ac:dyDescent="0.35">
      <c r="A11" s="18"/>
      <c r="B11" s="29"/>
      <c r="C11" s="62">
        <v>3</v>
      </c>
      <c r="D11" s="63" t="s">
        <v>27</v>
      </c>
      <c r="E11" s="64" t="s">
        <v>57</v>
      </c>
      <c r="F11" s="48"/>
      <c r="G11" s="12"/>
      <c r="H11" s="29"/>
      <c r="I11" s="12"/>
      <c r="J11" s="65" t="s">
        <v>28</v>
      </c>
      <c r="K11" s="161">
        <f>SUMIF(FMEA!$N:$N,J11,FMEA!$S:$S)</f>
        <v>0</v>
      </c>
      <c r="L11" s="162"/>
      <c r="M11" s="162"/>
      <c r="N11" s="162"/>
      <c r="O11" s="163"/>
      <c r="P11" s="66"/>
      <c r="Q11" s="45"/>
      <c r="R11" s="31">
        <f t="shared" si="1"/>
        <v>4</v>
      </c>
      <c r="S11" s="32">
        <f>S10</f>
        <v>4</v>
      </c>
      <c r="T11" s="33" t="str">
        <f t="shared" si="0"/>
        <v>44</v>
      </c>
      <c r="U11" s="46" t="s">
        <v>53</v>
      </c>
    </row>
    <row r="12" spans="1:23" ht="16.8" thickBot="1" x14ac:dyDescent="0.35">
      <c r="A12" s="18"/>
      <c r="B12" s="29"/>
      <c r="C12" s="59">
        <v>2</v>
      </c>
      <c r="D12" s="60" t="s">
        <v>29</v>
      </c>
      <c r="E12" s="61" t="s">
        <v>58</v>
      </c>
      <c r="F12" s="48"/>
      <c r="G12" s="12"/>
      <c r="H12" s="29"/>
      <c r="I12" s="12"/>
      <c r="J12" s="12"/>
      <c r="K12" s="12"/>
      <c r="L12" s="12"/>
      <c r="M12" s="12"/>
      <c r="N12" s="12"/>
      <c r="O12" s="12"/>
      <c r="P12" s="48"/>
      <c r="Q12" s="45"/>
      <c r="R12" s="31">
        <f t="shared" si="1"/>
        <v>5</v>
      </c>
      <c r="S12" s="32">
        <f>S11</f>
        <v>4</v>
      </c>
      <c r="T12" s="33" t="str">
        <f t="shared" si="0"/>
        <v>54</v>
      </c>
      <c r="U12" s="51" t="s">
        <v>54</v>
      </c>
    </row>
    <row r="13" spans="1:23" ht="16.8" thickBot="1" x14ac:dyDescent="0.35">
      <c r="A13" s="18"/>
      <c r="B13" s="29"/>
      <c r="C13" s="67">
        <v>1</v>
      </c>
      <c r="D13" s="68" t="s">
        <v>30</v>
      </c>
      <c r="E13" s="69" t="s">
        <v>59</v>
      </c>
      <c r="F13" s="48"/>
      <c r="G13" s="12"/>
      <c r="H13" s="29"/>
      <c r="J13" s="65" t="s">
        <v>31</v>
      </c>
      <c r="K13" s="161">
        <f>SUM(K5:O11)</f>
        <v>46</v>
      </c>
      <c r="L13" s="162"/>
      <c r="M13" s="162"/>
      <c r="N13" s="162"/>
      <c r="O13" s="163"/>
      <c r="P13" s="48"/>
      <c r="Q13" s="45"/>
      <c r="R13" s="31">
        <f t="shared" si="1"/>
        <v>1</v>
      </c>
      <c r="S13" s="32">
        <f>J7</f>
        <v>3</v>
      </c>
      <c r="T13" s="33" t="str">
        <f t="shared" si="0"/>
        <v>13</v>
      </c>
      <c r="U13" s="70" t="s">
        <v>60</v>
      </c>
    </row>
    <row r="14" spans="1:23" ht="15" thickBot="1" x14ac:dyDescent="0.35">
      <c r="A14" s="18"/>
      <c r="B14" s="71"/>
      <c r="C14" s="72"/>
      <c r="D14" s="72"/>
      <c r="E14" s="73"/>
      <c r="F14" s="74"/>
      <c r="G14" s="12"/>
      <c r="H14" s="71"/>
      <c r="I14" s="72"/>
      <c r="J14" s="72"/>
      <c r="K14" s="72"/>
      <c r="L14" s="72"/>
      <c r="M14" s="72"/>
      <c r="N14" s="72"/>
      <c r="O14" s="72"/>
      <c r="P14" s="74"/>
      <c r="Q14" s="45"/>
      <c r="R14" s="31">
        <f t="shared" si="1"/>
        <v>2</v>
      </c>
      <c r="S14" s="32">
        <f>S13</f>
        <v>3</v>
      </c>
      <c r="T14" s="33" t="str">
        <f t="shared" si="0"/>
        <v>23</v>
      </c>
      <c r="U14" s="34" t="s">
        <v>51</v>
      </c>
    </row>
    <row r="15" spans="1:23" ht="15" thickBot="1" x14ac:dyDescent="0.35">
      <c r="A15" s="18"/>
      <c r="B15" s="12"/>
      <c r="C15" s="12"/>
      <c r="D15" s="12"/>
      <c r="E15" s="36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45"/>
      <c r="R15" s="31">
        <f t="shared" si="1"/>
        <v>3</v>
      </c>
      <c r="S15" s="32">
        <f>S14</f>
        <v>3</v>
      </c>
      <c r="T15" s="33" t="str">
        <f t="shared" si="0"/>
        <v>33</v>
      </c>
      <c r="U15" s="34" t="s">
        <v>51</v>
      </c>
    </row>
    <row r="16" spans="1:23" x14ac:dyDescent="0.3">
      <c r="A16" s="18"/>
      <c r="B16" s="21"/>
      <c r="C16" s="22"/>
      <c r="D16" s="22"/>
      <c r="E16" s="41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  <c r="Q16" s="45"/>
      <c r="R16" s="31">
        <f t="shared" si="1"/>
        <v>4</v>
      </c>
      <c r="S16" s="32">
        <f>S15</f>
        <v>3</v>
      </c>
      <c r="T16" s="33" t="str">
        <f t="shared" si="0"/>
        <v>43</v>
      </c>
      <c r="U16" s="40" t="s">
        <v>52</v>
      </c>
    </row>
    <row r="17" spans="1:21" ht="15.6" x14ac:dyDescent="0.3">
      <c r="A17" s="18"/>
      <c r="B17" s="29"/>
      <c r="C17" s="47" t="s">
        <v>19</v>
      </c>
      <c r="D17" s="12"/>
      <c r="E17" s="36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48"/>
      <c r="Q17" s="45"/>
      <c r="R17" s="31">
        <f t="shared" si="1"/>
        <v>5</v>
      </c>
      <c r="S17" s="32">
        <f>S16</f>
        <v>3</v>
      </c>
      <c r="T17" s="33" t="str">
        <f t="shared" si="0"/>
        <v>53</v>
      </c>
      <c r="U17" s="46" t="s">
        <v>53</v>
      </c>
    </row>
    <row r="18" spans="1:21" ht="15" thickBot="1" x14ac:dyDescent="0.35">
      <c r="A18" s="18"/>
      <c r="B18" s="29"/>
      <c r="C18" s="75"/>
      <c r="D18" s="76"/>
      <c r="E18" s="36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48"/>
      <c r="Q18" s="45"/>
      <c r="R18" s="31">
        <f t="shared" si="1"/>
        <v>1</v>
      </c>
      <c r="S18" s="32">
        <f>J8</f>
        <v>2</v>
      </c>
      <c r="T18" s="33" t="str">
        <f t="shared" si="0"/>
        <v>12</v>
      </c>
      <c r="U18" s="70" t="s">
        <v>60</v>
      </c>
    </row>
    <row r="19" spans="1:21" ht="15" thickBot="1" x14ac:dyDescent="0.35">
      <c r="A19" s="18"/>
      <c r="B19" s="29"/>
      <c r="C19" s="77" t="s">
        <v>32</v>
      </c>
      <c r="D19" s="54" t="s">
        <v>33</v>
      </c>
      <c r="E19" s="158" t="s">
        <v>34</v>
      </c>
      <c r="F19" s="159"/>
      <c r="G19" s="159"/>
      <c r="H19" s="159"/>
      <c r="I19" s="159"/>
      <c r="J19" s="159"/>
      <c r="K19" s="159"/>
      <c r="L19" s="159"/>
      <c r="M19" s="159"/>
      <c r="N19" s="159"/>
      <c r="O19" s="160"/>
      <c r="P19" s="48"/>
      <c r="Q19" s="45"/>
      <c r="R19" s="31">
        <f t="shared" si="1"/>
        <v>2</v>
      </c>
      <c r="S19" s="32">
        <f>S18</f>
        <v>2</v>
      </c>
      <c r="T19" s="33" t="str">
        <f t="shared" si="0"/>
        <v>22</v>
      </c>
      <c r="U19" s="70" t="s">
        <v>60</v>
      </c>
    </row>
    <row r="20" spans="1:21" x14ac:dyDescent="0.3">
      <c r="A20" s="18"/>
      <c r="B20" s="29"/>
      <c r="C20" s="174">
        <v>5</v>
      </c>
      <c r="D20" s="175" t="s">
        <v>35</v>
      </c>
      <c r="E20" s="155" t="s">
        <v>36</v>
      </c>
      <c r="F20" s="156"/>
      <c r="G20" s="156"/>
      <c r="H20" s="156"/>
      <c r="I20" s="156"/>
      <c r="J20" s="156"/>
      <c r="K20" s="156"/>
      <c r="L20" s="156"/>
      <c r="M20" s="156"/>
      <c r="N20" s="156"/>
      <c r="O20" s="157"/>
      <c r="P20" s="48"/>
      <c r="Q20" s="45"/>
      <c r="R20" s="31">
        <f t="shared" si="1"/>
        <v>3</v>
      </c>
      <c r="S20" s="32">
        <f>S19</f>
        <v>2</v>
      </c>
      <c r="T20" s="33" t="str">
        <f t="shared" si="0"/>
        <v>32</v>
      </c>
      <c r="U20" s="34" t="s">
        <v>51</v>
      </c>
    </row>
    <row r="21" spans="1:21" ht="14.4" customHeight="1" x14ac:dyDescent="0.3">
      <c r="A21" s="18"/>
      <c r="B21" s="29"/>
      <c r="C21" s="165"/>
      <c r="D21" s="176"/>
      <c r="E21" s="178" t="s">
        <v>37</v>
      </c>
      <c r="F21" s="179"/>
      <c r="G21" s="179"/>
      <c r="H21" s="179"/>
      <c r="I21" s="179"/>
      <c r="J21" s="179"/>
      <c r="K21" s="179"/>
      <c r="L21" s="179"/>
      <c r="M21" s="179"/>
      <c r="N21" s="179"/>
      <c r="O21" s="180"/>
      <c r="P21" s="48"/>
      <c r="Q21" s="45"/>
      <c r="R21" s="31">
        <f t="shared" si="1"/>
        <v>4</v>
      </c>
      <c r="S21" s="32">
        <f>S20</f>
        <v>2</v>
      </c>
      <c r="T21" s="33" t="str">
        <f t="shared" si="0"/>
        <v>42</v>
      </c>
      <c r="U21" s="34" t="s">
        <v>51</v>
      </c>
    </row>
    <row r="22" spans="1:21" ht="15" thickBot="1" x14ac:dyDescent="0.35">
      <c r="A22" s="18"/>
      <c r="B22" s="29"/>
      <c r="C22" s="166"/>
      <c r="D22" s="177"/>
      <c r="E22" s="181" t="s">
        <v>38</v>
      </c>
      <c r="F22" s="182"/>
      <c r="G22" s="182"/>
      <c r="H22" s="182"/>
      <c r="I22" s="182"/>
      <c r="J22" s="182"/>
      <c r="K22" s="182"/>
      <c r="L22" s="182"/>
      <c r="M22" s="182"/>
      <c r="N22" s="182"/>
      <c r="O22" s="183"/>
      <c r="P22" s="48"/>
      <c r="Q22" s="45"/>
      <c r="R22" s="31">
        <f t="shared" si="1"/>
        <v>5</v>
      </c>
      <c r="S22" s="32">
        <f>S21</f>
        <v>2</v>
      </c>
      <c r="T22" s="33" t="str">
        <f t="shared" si="0"/>
        <v>52</v>
      </c>
      <c r="U22" s="40" t="s">
        <v>52</v>
      </c>
    </row>
    <row r="23" spans="1:21" x14ac:dyDescent="0.3">
      <c r="A23" s="18"/>
      <c r="B23" s="29"/>
      <c r="C23" s="164">
        <v>4</v>
      </c>
      <c r="D23" s="167" t="s">
        <v>39</v>
      </c>
      <c r="E23" s="168" t="s">
        <v>40</v>
      </c>
      <c r="F23" s="169"/>
      <c r="G23" s="169"/>
      <c r="H23" s="169"/>
      <c r="I23" s="169"/>
      <c r="J23" s="169"/>
      <c r="K23" s="169"/>
      <c r="L23" s="169"/>
      <c r="M23" s="169"/>
      <c r="N23" s="169"/>
      <c r="O23" s="170"/>
      <c r="P23" s="48"/>
      <c r="Q23" s="45"/>
      <c r="R23" s="31">
        <f>R18</f>
        <v>1</v>
      </c>
      <c r="S23" s="32">
        <f>J9</f>
        <v>1</v>
      </c>
      <c r="T23" s="33" t="str">
        <f t="shared" si="0"/>
        <v>11</v>
      </c>
      <c r="U23" s="70" t="s">
        <v>60</v>
      </c>
    </row>
    <row r="24" spans="1:21" ht="14.4" customHeight="1" x14ac:dyDescent="0.3">
      <c r="A24" s="18"/>
      <c r="B24" s="29"/>
      <c r="C24" s="165"/>
      <c r="D24" s="165"/>
      <c r="E24" s="171" t="s">
        <v>41</v>
      </c>
      <c r="F24" s="172"/>
      <c r="G24" s="172"/>
      <c r="H24" s="172"/>
      <c r="I24" s="172"/>
      <c r="J24" s="172"/>
      <c r="K24" s="172"/>
      <c r="L24" s="172"/>
      <c r="M24" s="172"/>
      <c r="N24" s="172"/>
      <c r="O24" s="173"/>
      <c r="P24" s="48"/>
      <c r="Q24" s="45"/>
      <c r="R24" s="31">
        <f>R19</f>
        <v>2</v>
      </c>
      <c r="S24" s="32">
        <f>S23</f>
        <v>1</v>
      </c>
      <c r="T24" s="33" t="str">
        <f t="shared" si="0"/>
        <v>21</v>
      </c>
      <c r="U24" s="70" t="s">
        <v>60</v>
      </c>
    </row>
    <row r="25" spans="1:21" ht="15" thickBot="1" x14ac:dyDescent="0.35">
      <c r="A25" s="18"/>
      <c r="B25" s="29"/>
      <c r="C25" s="166"/>
      <c r="D25" s="166"/>
      <c r="E25" s="171" t="s">
        <v>42</v>
      </c>
      <c r="F25" s="172"/>
      <c r="G25" s="172"/>
      <c r="H25" s="172"/>
      <c r="I25" s="172"/>
      <c r="J25" s="172"/>
      <c r="K25" s="172"/>
      <c r="L25" s="172"/>
      <c r="M25" s="172"/>
      <c r="N25" s="172"/>
      <c r="O25" s="173"/>
      <c r="P25" s="48"/>
      <c r="Q25" s="45"/>
      <c r="R25" s="31">
        <f>R20</f>
        <v>3</v>
      </c>
      <c r="S25" s="32">
        <f>S24</f>
        <v>1</v>
      </c>
      <c r="T25" s="33" t="str">
        <f t="shared" si="0"/>
        <v>31</v>
      </c>
      <c r="U25" s="70" t="s">
        <v>60</v>
      </c>
    </row>
    <row r="26" spans="1:21" ht="15" thickBot="1" x14ac:dyDescent="0.35">
      <c r="A26" s="18"/>
      <c r="B26" s="29"/>
      <c r="C26" s="78">
        <v>3</v>
      </c>
      <c r="D26" s="79" t="s">
        <v>43</v>
      </c>
      <c r="E26" s="155" t="s">
        <v>44</v>
      </c>
      <c r="F26" s="156"/>
      <c r="G26" s="156"/>
      <c r="H26" s="156"/>
      <c r="I26" s="156"/>
      <c r="J26" s="156"/>
      <c r="K26" s="156"/>
      <c r="L26" s="156"/>
      <c r="M26" s="156"/>
      <c r="N26" s="156"/>
      <c r="O26" s="157"/>
      <c r="P26" s="48"/>
      <c r="Q26" s="45"/>
      <c r="R26" s="31">
        <f>R21</f>
        <v>4</v>
      </c>
      <c r="S26" s="32">
        <f>S25</f>
        <v>1</v>
      </c>
      <c r="T26" s="33" t="str">
        <f t="shared" si="0"/>
        <v>41</v>
      </c>
      <c r="U26" s="70" t="s">
        <v>60</v>
      </c>
    </row>
    <row r="27" spans="1:21" ht="15" thickBot="1" x14ac:dyDescent="0.35">
      <c r="A27" s="18"/>
      <c r="B27" s="29"/>
      <c r="C27" s="80">
        <v>1</v>
      </c>
      <c r="D27" s="81" t="s">
        <v>45</v>
      </c>
      <c r="E27" s="152" t="s">
        <v>46</v>
      </c>
      <c r="F27" s="153"/>
      <c r="G27" s="153"/>
      <c r="H27" s="153"/>
      <c r="I27" s="153"/>
      <c r="J27" s="153"/>
      <c r="K27" s="153"/>
      <c r="L27" s="153"/>
      <c r="M27" s="153"/>
      <c r="N27" s="153"/>
      <c r="O27" s="154"/>
      <c r="P27" s="48"/>
      <c r="Q27" s="45"/>
      <c r="R27" s="31">
        <v>0</v>
      </c>
      <c r="S27" s="32">
        <v>0</v>
      </c>
      <c r="T27" s="33" t="str">
        <f t="shared" si="0"/>
        <v>00</v>
      </c>
      <c r="U27" s="82" t="s">
        <v>28</v>
      </c>
    </row>
    <row r="28" spans="1:21" ht="15" thickBot="1" x14ac:dyDescent="0.35">
      <c r="A28" s="18"/>
      <c r="B28" s="71"/>
      <c r="C28" s="8"/>
      <c r="D28" s="8"/>
      <c r="E28" s="83"/>
      <c r="F28" s="8"/>
      <c r="G28" s="8"/>
      <c r="H28" s="8"/>
      <c r="I28" s="8"/>
      <c r="J28" s="8"/>
      <c r="K28" s="8"/>
      <c r="L28" s="8"/>
      <c r="M28" s="8"/>
      <c r="N28" s="8"/>
      <c r="O28" s="8"/>
      <c r="P28" s="74"/>
      <c r="Q28" s="45"/>
    </row>
    <row r="29" spans="1:21" ht="14.4" customHeight="1" x14ac:dyDescent="0.3">
      <c r="A29" s="84"/>
      <c r="B29" s="14"/>
      <c r="C29" s="6"/>
      <c r="D29" s="6"/>
      <c r="E29" s="85"/>
      <c r="F29" s="6"/>
      <c r="G29" s="6"/>
      <c r="H29" s="6"/>
      <c r="I29" s="6"/>
      <c r="J29" s="6"/>
      <c r="K29" s="6"/>
      <c r="L29" s="6"/>
      <c r="M29" s="6"/>
      <c r="N29" s="6"/>
      <c r="O29" s="6"/>
      <c r="P29" s="14"/>
      <c r="Q29" s="15"/>
    </row>
  </sheetData>
  <mergeCells count="19">
    <mergeCell ref="E20:O20"/>
    <mergeCell ref="E21:O21"/>
    <mergeCell ref="E22:O22"/>
    <mergeCell ref="I3:J4"/>
    <mergeCell ref="K3:O3"/>
    <mergeCell ref="I5:I9"/>
    <mergeCell ref="C2:E3"/>
    <mergeCell ref="E27:O27"/>
    <mergeCell ref="E26:O26"/>
    <mergeCell ref="E19:O19"/>
    <mergeCell ref="K13:O13"/>
    <mergeCell ref="K11:O11"/>
    <mergeCell ref="C23:C25"/>
    <mergeCell ref="D23:D25"/>
    <mergeCell ref="E23:O23"/>
    <mergeCell ref="E24:O24"/>
    <mergeCell ref="E25:O25"/>
    <mergeCell ref="C20:C22"/>
    <mergeCell ref="D20:D22"/>
  </mergeCells>
  <conditionalFormatting sqref="R27:S27">
    <cfRule type="cellIs" dxfId="3" priority="3" operator="equal">
      <formula>"G"</formula>
    </cfRule>
    <cfRule type="cellIs" dxfId="2" priority="4" operator="equal">
      <formula>"C"</formula>
    </cfRule>
  </conditionalFormatting>
  <conditionalFormatting sqref="U27">
    <cfRule type="cellIs" dxfId="1" priority="1" operator="equal">
      <formula>"G"</formula>
    </cfRule>
    <cfRule type="cellIs" dxfId="0" priority="2" operator="equal">
      <formula>"C"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3159CD7C61FBF4E81B0D02C7A820864" ma:contentTypeVersion="3" ma:contentTypeDescription="Ein neues Dokument erstellen." ma:contentTypeScope="" ma:versionID="dfda7490a2d0fac2d4fcaa864a04b540">
  <xsd:schema xmlns:xsd="http://www.w3.org/2001/XMLSchema" xmlns:xs="http://www.w3.org/2001/XMLSchema" xmlns:p="http://schemas.microsoft.com/office/2006/metadata/properties" xmlns:ns2="5c4d44cf-5382-436a-87fc-0d9f6bbfa86f" targetNamespace="http://schemas.microsoft.com/office/2006/metadata/properties" ma:root="true" ma:fieldsID="ce5ad2082d93a5047888899b74f9da1a" ns2:_="">
    <xsd:import namespace="5c4d44cf-5382-436a-87fc-0d9f6bbfa8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d44cf-5382-436a-87fc-0d9f6bbfa8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96B4D2-EF2E-45F7-9486-0DAB19E02E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0D10EB-93C5-4D40-82AB-D74AF777572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F905D76-3EBF-43B7-A1AA-DA80344D55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d44cf-5382-436a-87fc-0d9f6bbfa8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Component</vt:lpstr>
      <vt:lpstr>FMEA</vt:lpstr>
      <vt:lpstr>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[EXTERNAL] Artjom Lukanowski</dc:creator>
  <cp:lastModifiedBy>[EXTERNAL] Artjom Lukanowski</cp:lastModifiedBy>
  <dcterms:created xsi:type="dcterms:W3CDTF">2015-06-05T18:17:20Z</dcterms:created>
  <dcterms:modified xsi:type="dcterms:W3CDTF">2026-03-09T10:20:26Z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0x01010093159CD7C61FBF4E81B0D02C7A820864</vt:lpwstr>
  </property>
  <property fmtid="{D5CDD505-2E9C-101B-9397-08002B2CF9AE}" pid="3" name="MSIP_Label_8d1420bb-738d-4386-a42f-ad19d7043110_Enabled">
    <vt:lpwstr>true</vt:lpwstr>
  </property>
  <property fmtid="{D5CDD505-2E9C-101B-9397-08002B2CF9AE}" pid="4" name="MSIP_Label_8d1420bb-738d-4386-a42f-ad19d7043110_SetDate">
    <vt:lpwstr>2026-03-06T08:26:40Z</vt:lpwstr>
  </property>
  <property fmtid="{D5CDD505-2E9C-101B-9397-08002B2CF9AE}" pid="5" name="MSIP_Label_8d1420bb-738d-4386-a42f-ad19d7043110_Method">
    <vt:lpwstr>Standard</vt:lpwstr>
  </property>
  <property fmtid="{D5CDD505-2E9C-101B-9397-08002B2CF9AE}" pid="6" name="MSIP_Label_8d1420bb-738d-4386-a42f-ad19d7043110_Name">
    <vt:lpwstr>Internal</vt:lpwstr>
  </property>
  <property fmtid="{D5CDD505-2E9C-101B-9397-08002B2CF9AE}" pid="7" name="MSIP_Label_8d1420bb-738d-4386-a42f-ad19d7043110_SiteId">
    <vt:lpwstr>c6140e09-47b8-4c97-a12c-cffb12a150ba</vt:lpwstr>
  </property>
  <property fmtid="{D5CDD505-2E9C-101B-9397-08002B2CF9AE}" pid="8" name="MSIP_Label_8d1420bb-738d-4386-a42f-ad19d7043110_ActionId">
    <vt:lpwstr>ea059962-694a-44d3-92af-f869f415de4c</vt:lpwstr>
  </property>
  <property fmtid="{D5CDD505-2E9C-101B-9397-08002B2CF9AE}" pid="9" name="MSIP_Label_8d1420bb-738d-4386-a42f-ad19d7043110_ContentBits">
    <vt:lpwstr>3</vt:lpwstr>
  </property>
  <property fmtid="{D5CDD505-2E9C-101B-9397-08002B2CF9AE}" pid="10" name="MSIP_Label_8d1420bb-738d-4386-a42f-ad19d7043110_Tag">
    <vt:lpwstr>10, 3, 0, 1</vt:lpwstr>
  </property>
</Properties>
</file>