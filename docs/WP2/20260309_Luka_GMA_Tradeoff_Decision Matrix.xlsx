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heexplorationcompany.sharepoint.com/sites/ExternalArtjom-TheExporationCompany/Freigegebene Dokumente/06 - TVC Subsystem/01 - Gimbal Mount Assembly/06 - GMA Documentation/WP2/"/>
    </mc:Choice>
  </mc:AlternateContent>
  <xr:revisionPtr revIDLastSave="2249" documentId="8_{CE5E8200-FF1F-473F-9A71-88B0B0299838}" xr6:coauthVersionLast="47" xr6:coauthVersionMax="47" xr10:uidLastSave="{654F7257-12EC-4E8C-9314-0CB651F28046}"/>
  <bookViews>
    <workbookView xWindow="-108" yWindow="-108" windowWidth="23256" windowHeight="13896" activeTab="1" xr2:uid="{00000000-000D-0000-FFFF-FFFF00000000}"/>
  </bookViews>
  <sheets>
    <sheet name="Component" sheetId="5" r:id="rId1"/>
    <sheet name="Trade-Off-Matri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D24" i="4"/>
  <c r="C24" i="4"/>
  <c r="C23" i="4"/>
  <c r="D23" i="4"/>
  <c r="E23" i="4"/>
  <c r="B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tc={0020A119-E6CB-4542-8003-0A9B8D6396C6}</author>
    <author>tc={07644CA9-F72F-41F7-BF71-17D0D0F4DA5A}</author>
    <author>tc={3B0AD01B-A3E4-4D89-BA21-687F718F0EBD}</author>
    <author>tc={875B6D7D-7FEB-41D4-A626-711F3DD98AA7}</author>
    <author>tc={88D41B30-041A-4D20-98A4-8A50561B7506}</author>
    <author>tc={684CB761-0C64-401B-AB8F-E67FDF72EA60}</author>
    <author>tc={94D5D849-0E18-442F-BDD6-6EBF98B6ED60}</author>
    <author>tc={185DD6A5-F36F-429F-A410-864D0907B36F}</author>
    <author>tc={129A2F03-6CC7-468C-9175-20C01E1F71D7}</author>
    <author>tc={16F2AC4D-A2F3-4C53-A817-C2BAF4C48B00}</author>
    <author>tc={96B3DD40-F2AC-474C-B31B-9FC645455A3E}</author>
    <author>tc={EC6E317E-E686-4F8B-803C-0ED085885117}</author>
    <author>tc={EEC44C44-5F29-4359-A752-FDB7D2F65227}</author>
  </authors>
  <commentList>
    <comment ref="C14" authorId="0" shapeId="0" xr:uid="{0020A119-E6CB-4542-8003-0A9B8D6396C6}">
      <text>
        <t>[Threaded comment]
Your version of Excel allows you to read this threaded comment; however, any edits to it will get removed if the file is opened in a newer version of Excel. Learn more: https://go.microsoft.com/fwlink/?linkid=870924
Comment:
    + Testability assumed to be same as cross-type, but due to better integratability and inspectability, slightly higher weight</t>
      </text>
    </comment>
    <comment ref="C16" authorId="1" shapeId="0" xr:uid="{07644CA9-F72F-41F7-BF71-17D0D0F4DA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 Smaller gimbal angle expected due to more potential to colide with structure or periphery
- Lower bending stiffness of ring expected, which may impact the precision </t>
      </text>
    </comment>
    <comment ref="D16" authorId="2" shapeId="0" xr:uid="{3B0AD01B-A3E4-4D89-BA21-687F718F0EBD}">
      <text>
        <t>[Threaded comment]
Your version of Excel allows you to read this threaded comment; however, any edits to it will get removed if the file is opened in a newer version of Excel. Learn more: https://go.microsoft.com/fwlink/?linkid=870924
Comment:
    + Higher stiffness compared to ring-type expected, hence less deformation and direct response to actuators commands
+ Lower structural inertia on component level</t>
      </text>
    </comment>
    <comment ref="E16" authorId="3" shapeId="0" xr:uid="{875B6D7D-7FEB-41D4-A626-711F3DD98AA7}">
      <text>
        <t>[Threaded comment]
Your version of Excel allows you to read this threaded comment; however, any edits to it will get removed if the file is opened in a newer version of Excel. Learn more: https://go.microsoft.com/fwlink/?linkid=870924
Comment:
    + Min. Structural deformation
- Bearing friction often in the past underpredicted (see literature)</t>
      </text>
    </comment>
    <comment ref="C18" authorId="4" shapeId="0" xr:uid="{88D41B30-041A-4D20-98A4-8A50561B7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+ Better volume utilization vertically (better control authority as distance between engine COG and gimbal point reduces)
- Worse volume utilization radially
- Gimbal motion (angle) limited compared to other  gimbal types (more vertical clearance needed at same gimbal angle)
</t>
      </text>
    </comment>
    <comment ref="D18" authorId="5" shapeId="0" xr:uid="{684CB761-0C64-401B-AB8F-E67FDF72EA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+ Good occupation of volume radially
- Worse occupation of volume axially
- Poor accessibility </t>
      </text>
    </comment>
    <comment ref="C20" authorId="6" shapeId="0" xr:uid="{94D5D849-0E18-442F-BDD6-6EBF98B6ED60}">
      <text>
        <t>[Threaded comment]
Your version of Excel allows you to read this threaded comment; however, any edits to it will get removed if the file is opened in a newer version of Excel. Learn more: https://go.microsoft.com/fwlink/?linkid=870924
Comment:
    - Biggest heritage in flight-proven engines
- Multiple patents existing</t>
      </text>
    </comment>
    <comment ref="E20" authorId="7" shapeId="0" xr:uid="{185DD6A5-F36F-429F-A410-864D0907B3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 TRL level high BUT, intellectual property is mainly internally available at subcontractors by NASA like Rocketdyne etc. Hence Know-how not accessible </t>
      </text>
    </comment>
    <comment ref="C21" authorId="8" shapeId="0" xr:uid="{129A2F03-6CC7-468C-9175-20C01E1F71D7}">
      <text>
        <t>[Threaded comment]
Your version of Excel allows you to read this threaded comment; however, any edits to it will get removed if the file is opened in a newer version of Excel. Learn more: https://go.microsoft.com/fwlink/?linkid=870924
Comment:
    - Higher part count
- Less stiffness
- Higher impact on tolerance deviations
+ Accessibility / Inspectability
+ Load in main load direction (vertical) transferred through stiffer gimbal ring and bearings outer race</t>
      </text>
    </comment>
    <comment ref="D21" authorId="9" shapeId="0" xr:uid="{16F2AC4D-A2F3-4C53-A817-C2BAF4C48B00}">
      <text>
        <t>[Threaded comment]
Your version of Excel allows you to read this threaded comment; however, any edits to it will get removed if the file is opened in a newer version of Excel. Learn more: https://go.microsoft.com/fwlink/?linkid=870924
Comment:
    + Lower part count
- Less margins of upper fasteners (vehicle side) w.r.t. to lateral or bending loads
- Worse accessability</t>
      </text>
    </comment>
    <comment ref="E21" authorId="10" shapeId="0" xr:uid="{96B3DD40-F2AC-474C-B31B-9FC645455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Complexity driven by manufacturing tolerances of spherical feature and friction behavior of the teflon composite liner</t>
      </text>
    </comment>
    <comment ref="C22" authorId="11" shapeId="0" xr:uid="{EC6E317E-E686-4F8B-803C-0ED085885117}">
      <text>
        <t>[Threaded comment]
Your version of Excel allows you to read this threaded comment; however, any edits to it will get removed if the file is opened in a newer version of Excel. Learn more: https://go.microsoft.com/fwlink/?linkid=870924
Comment:
    + More margin for lateral loads of the fasteners connected to the vehicle/thrust frame
+ More thermal margin for bearings connected to the thrust frame
- Higher bending loads of gimbal ring</t>
      </text>
    </comment>
    <comment ref="D22" authorId="12" shapeId="0" xr:uid="{EEC44C44-5F29-4359-A752-FDB7D2F65227}">
      <text>
        <t>[Threaded comment]
Your version of Excel allows you to read this threaded comment; however, any edits to it will get removed if the file is opened in a newer version of Excel. Learn more: https://go.microsoft.com/fwlink/?linkid=870924
Comment:
    - Less margin for lateral loads of the fasteners connected to the vehicle/thrust frame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<sst xmlns="http://schemas.openxmlformats.org/spreadsheetml/2006/main" count="38" uniqueCount="35">
  <si>
    <t>PIN</t>
  </si>
  <si>
    <t>SHIM</t>
  </si>
  <si>
    <t>BEARING</t>
  </si>
  <si>
    <t>GIMBAL RING</t>
  </si>
  <si>
    <t>Artjom Lukanowski</t>
  </si>
  <si>
    <t xml:space="preserve">Date: </t>
  </si>
  <si>
    <t>07.03.2026</t>
  </si>
  <si>
    <t>Author:</t>
  </si>
  <si>
    <t>GIMBAL LOWER SUPPORT</t>
  </si>
  <si>
    <t>INJECTION HEAD</t>
  </si>
  <si>
    <t>Component designation</t>
  </si>
  <si>
    <t>No.</t>
  </si>
  <si>
    <t>Name</t>
  </si>
  <si>
    <t>GMA - Trade-Off Matrix</t>
  </si>
  <si>
    <t>GIMBAL MECHANISM TYPE</t>
  </si>
  <si>
    <t>Ring-type gimbal mount</t>
  </si>
  <si>
    <t>Cross-type gimbal mount</t>
  </si>
  <si>
    <t>Spherical-type</t>
  </si>
  <si>
    <t>PROGRAMMATIC</t>
  </si>
  <si>
    <t>Trade-Off criteria</t>
  </si>
  <si>
    <t>Mass</t>
  </si>
  <si>
    <t>Complexity</t>
  </si>
  <si>
    <t>FUNCTIONALITY</t>
  </si>
  <si>
    <t>FEASIBILITY</t>
  </si>
  <si>
    <t>Timeline &amp; Execution</t>
  </si>
  <si>
    <t>Testability</t>
  </si>
  <si>
    <t>Angle, speed, precision</t>
  </si>
  <si>
    <t>TRL</t>
  </si>
  <si>
    <t>Load capability</t>
  </si>
  <si>
    <t>TOTAL</t>
  </si>
  <si>
    <t>Geometry / volume</t>
  </si>
  <si>
    <t>Importance @AHP</t>
  </si>
  <si>
    <t>IMPORTANCE x WEIGHT</t>
  </si>
  <si>
    <t>Weight 1  (poor) to 5 (excellent)</t>
  </si>
  <si>
    <t>13.06.2026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</si>
</sst>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7">
    <xf numFmtId="0" fontId="0" fillId="0" borderId="0" xfId="0"/>
    <xf numFmtId="0" fontId="1" fillId="0" borderId="0" xfId="0" applyFont="1" applyAlignment="1">
      <alignment wrapText="1"/>
    </xf>
    <xf numFmtId="0" fontId="0" fillId="0" borderId="6" xfId="0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wrapText="1"/>
    </xf>
    <xf numFmtId="0" fontId="5" fillId="0" borderId="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5" fillId="0" borderId="10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vertical="center"/>
    </xf>
    <xf numFmtId="0" fontId="11" fillId="2" borderId="0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0" fillId="0" borderId="8" xfId="0" applyBorder="1" applyAlignment="1">
      <alignment vertical="center"/>
    </xf>
    <xf numFmtId="0" fontId="13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3" fillId="0" borderId="8" xfId="0" applyFont="1" applyBorder="1" applyAlignment="1">
      <alignment horizontal="right" vertical="center"/>
    </xf>
    <xf numFmtId="0" fontId="13" fillId="0" borderId="8" xfId="0" applyFont="1" applyBorder="1" applyAlignment="1">
      <alignment horizontal="right"/>
    </xf>
    <xf numFmtId="0" fontId="5" fillId="0" borderId="8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164" fontId="15" fillId="0" borderId="22" xfId="0" applyNumberFormat="1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9" fontId="13" fillId="0" borderId="12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164" fontId="15" fillId="0" borderId="24" xfId="0" applyNumberFormat="1" applyFont="1" applyBorder="1" applyAlignment="1">
      <alignment horizontal="center" vertical="center"/>
    </xf>
  </cellXfs>
  <cellStyles count="2">
    <cellStyle name="Normal" xfId="0" builtinId="0"/>
    <cellStyle name="Normale 2" xfId="1" xr:uid="{D8544A17-DC65-4E86-830D-4692B6321E38}"/>
  </cellStyles>
  <dxfs count="5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9981"/>
        </patternFill>
      </fill>
    </dxf>
    <dxf>
      <fill>
        <patternFill>
          <bgColor rgb="FFB9FFD9"/>
        </patternFill>
      </fill>
    </dxf>
  </dxfs>
  <tableStyles count="0" defaultTableStyle="TableStyleMedium2" defaultPivotStyle="PivotStyleLight16"/>
  <colors>
    <mruColors>
      <color rgb="FFB9FFD9"/>
      <color rgb="FFFF99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</xdr:row>
      <xdr:rowOff>19050</xdr:rowOff>
    </xdr:from>
    <xdr:to>
      <xdr:col>6</xdr:col>
      <xdr:colOff>284946</xdr:colOff>
      <xdr:row>31</xdr:row>
      <xdr:rowOff>98365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0C971-9817-F816-A86E-4A19EFF9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85800"/>
          <a:ext cx="3904446" cy="517328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[EXTERNAL] Artjom Lukanowski" id="{39912924-69B0-4A70-8EFB-7946B9180FA2}" userId="S::artjom.lukanowski.external@exploration.space::62686aa7-3ede-4c28-804c-e4579ada6add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6-03-13T11:16:15.08" personId="{39912924-69B0-4A70-8EFB-7946B9180FA2}" id="{0020A119-E6CB-4542-8003-0A9B8D6396C6}">
    <text>+ Testability assumed to be same as cross-type, but due to better integratability and inspectability, slightly higher weight</text>
  </threadedComment>
  <threadedComment ref="C16" dT="2026-03-13T12:56:15.27" personId="{39912924-69B0-4A70-8EFB-7946B9180FA2}" id="{07644CA9-F72F-41F7-BF71-17D0D0F4DA5A}">
    <text xml:space="preserve">- Smaller gimbal angle expected due to more potential to colide with structure or periphery
- Lower bending stiffness of ring expected, which may impact the precision </text>
  </threadedComment>
  <threadedComment ref="D16" dT="2026-03-13T10:24:24.19" personId="{39912924-69B0-4A70-8EFB-7946B9180FA2}" id="{3B0AD01B-A3E4-4D89-BA21-687F718F0EBD}">
    <text>+ Higher stiffness compared to ring-type expected, hence less deformation and direct response to actuators commands
+ Lower structural inertia on component level</text>
  </threadedComment>
  <threadedComment ref="E16" dT="2026-03-13T13:01:13.59" personId="{39912924-69B0-4A70-8EFB-7946B9180FA2}" id="{875B6D7D-7FEB-41D4-A626-711F3DD98AA7}">
    <text>+ Min. Structural deformation
- Bearing friction often in the past underpredicted (see literature)</text>
  </threadedComment>
  <threadedComment ref="C18" dT="2026-03-13T10:28:33.57" personId="{39912924-69B0-4A70-8EFB-7946B9180FA2}" id="{88D41B30-041A-4D20-98A4-8A50561B7506}">
    <text xml:space="preserve">+ Better volume utilization vertically (better control authority as distance between engine COG and gimbal point reduces)
- Worse volume utilization radially
- Gimbal motion (angle) limited compared to other  gimbal types (more vertical clearance needed at same gimbal angle)
</text>
  </threadedComment>
  <threadedComment ref="D18" dT="2026-03-13T11:14:51.31" personId="{39912924-69B0-4A70-8EFB-7946B9180FA2}" id="{684CB761-0C64-401B-AB8F-E67FDF72EA60}">
    <text xml:space="preserve">+ Good occupation of volume radially
- Worse occupation of volume axially
- Poor accessibility </text>
  </threadedComment>
  <threadedComment ref="C20" dT="2026-03-13T10:29:11.42" personId="{39912924-69B0-4A70-8EFB-7946B9180FA2}" id="{94D5D849-0E18-442F-BDD6-6EBF98B6ED60}">
    <text>- Biggest heritage in flight-proven engines
- Multiple patents existing</text>
  </threadedComment>
  <threadedComment ref="E20" dT="2026-03-13T10:31:39.70" personId="{39912924-69B0-4A70-8EFB-7946B9180FA2}" id="{185DD6A5-F36F-429F-A410-864D0907B36F}">
    <text xml:space="preserve">- TRL level high BUT, intellectual property is mainly internally available at subcontractors by NASA like Rocketdyne etc. Hence Know-how not accessible </text>
  </threadedComment>
  <threadedComment ref="C21" dT="2026-03-13T10:42:52.75" personId="{39912924-69B0-4A70-8EFB-7946B9180FA2}" id="{129A2F03-6CC7-468C-9175-20C01E1F71D7}">
    <text>- Higher part count
- Less stiffness
- Higher impact on tolerance deviations
+ Accessibility / Inspectability
+ Load in main load direction (vertical) transferred through stiffer gimbal ring and bearings outer race</text>
  </threadedComment>
  <threadedComment ref="D21" dT="2026-03-13T11:10:26.65" personId="{39912924-69B0-4A70-8EFB-7946B9180FA2}" id="{16F2AC4D-A2F3-4C53-A817-C2BAF4C48B00}">
    <text>+ Lower part count
- Less margins of upper fasteners (vehicle side) w.r.t. to lateral or bending loads
- Worse accessability</text>
  </threadedComment>
  <threadedComment ref="E21" dT="2026-03-13T10:25:36.51" personId="{39912924-69B0-4A70-8EFB-7946B9180FA2}" id="{96B3DD40-F2AC-474C-B31B-9FC645455A3E}">
    <text>Complexity driven by manufacturing tolerances of spherical feature and friction behavior of the teflon composite liner</text>
  </threadedComment>
  <threadedComment ref="C22" dT="2026-03-13T10:46:19.86" personId="{39912924-69B0-4A70-8EFB-7946B9180FA2}" id="{EC6E317E-E686-4F8B-803C-0ED085885117}">
    <text>+ More margin for lateral loads of the fasteners connected to the vehicle/thrust frame
+ More thermal margin for bearings connected to the thrust frame
- Higher bending loads of gimbal ring</text>
  </threadedComment>
  <threadedComment ref="D22" dT="2026-03-13T11:08:51.13" personId="{39912924-69B0-4A70-8EFB-7946B9180FA2}" id="{EEC44C44-5F29-4359-A752-FDB7D2F65227}">
    <text>- Less margin for lateral loads of the fasteners connected to the vehicle/thrust frame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B4-1D2A-4075-ADDD-15400B26EFD7}">
  <dimension ref="A1:J10"/>
  <sheetViews>
    <sheetView showGridLines="0" topLeftCell="A3" workbookViewId="0">
      <selection activeCell="I34" sqref="I34"/>
    </sheetView>
  </sheetViews>
  <sheetFormatPr defaultRowHeight="14.4" x14ac:dyDescent="0.3"/>
  <cols>
    <col min="8" max="8" width="4" bestFit="1" customWidth="1"/>
    <col min="9" max="9" width="22.88671875" customWidth="1"/>
    <col min="10" max="10" width="14.44140625" customWidth="1"/>
  </cols>
  <sheetData>
    <row r="1" spans="1:10" ht="23.4" x14ac:dyDescent="0.45">
      <c r="A1" s="10" t="s">
        <v>10</v>
      </c>
    </row>
    <row r="2" spans="1:10" x14ac:dyDescent="0.3">
      <c r="A2" s="6" t="s">
        <v>7</v>
      </c>
      <c r="B2" s="21" t="s">
        <v>4</v>
      </c>
      <c r="C2" s="21"/>
    </row>
    <row r="3" spans="1:10" ht="15" thickBot="1" x14ac:dyDescent="0.35">
      <c r="A3" s="6" t="s">
        <v>5</v>
      </c>
      <c r="B3" s="21" t="s">
        <v>6</v>
      </c>
      <c r="C3" s="21"/>
    </row>
    <row r="4" spans="1:10" ht="15" thickBot="1" x14ac:dyDescent="0.35">
      <c r="H4" s="7" t="s">
        <v>11</v>
      </c>
      <c r="I4" s="15" t="s">
        <v>12</v>
      </c>
    </row>
    <row r="5" spans="1:10" x14ac:dyDescent="0.3">
      <c r="H5" s="16">
        <v>1</v>
      </c>
      <c r="I5" s="11" t="s">
        <v>3</v>
      </c>
      <c r="J5" s="12"/>
    </row>
    <row r="6" spans="1:10" x14ac:dyDescent="0.3">
      <c r="H6" s="17">
        <v>2</v>
      </c>
      <c r="I6" t="s">
        <v>1</v>
      </c>
      <c r="J6" s="13"/>
    </row>
    <row r="7" spans="1:10" x14ac:dyDescent="0.3">
      <c r="H7" s="17">
        <v>3</v>
      </c>
      <c r="I7" t="s">
        <v>0</v>
      </c>
      <c r="J7" s="13"/>
    </row>
    <row r="8" spans="1:10" x14ac:dyDescent="0.3">
      <c r="H8" s="17">
        <v>4</v>
      </c>
      <c r="I8" t="s">
        <v>2</v>
      </c>
      <c r="J8" s="13"/>
    </row>
    <row r="9" spans="1:10" x14ac:dyDescent="0.3">
      <c r="H9" s="17">
        <v>5</v>
      </c>
      <c r="I9" t="s">
        <v>8</v>
      </c>
      <c r="J9" s="13"/>
    </row>
    <row r="10" spans="1:10" ht="15" thickBot="1" x14ac:dyDescent="0.35">
      <c r="H10" s="18">
        <v>6</v>
      </c>
      <c r="I10" s="2" t="s">
        <v>9</v>
      </c>
      <c r="J10" s="14"/>
    </row>
  </sheetData>
  <mergeCells count="2">
    <mergeCell ref="B2:C2"/>
    <mergeCell ref="B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5352-6B70-4695-9924-37558526E208}">
  <dimension ref="A1:J55"/>
  <sheetViews>
    <sheetView showGridLines="0" tabSelected="1" zoomScaleNormal="100" workbookViewId="0">
      <selection activeCell="L13" sqref="L13"/>
    </sheetView>
  </sheetViews>
  <sheetFormatPr defaultRowHeight="14.4" x14ac:dyDescent="0.3"/>
  <cols>
    <col min="1" max="1" width="27" bestFit="1" customWidth="1"/>
    <col min="2" max="2" width="17.21875" bestFit="1" customWidth="1"/>
    <col min="3" max="3" width="22.109375" bestFit="1" customWidth="1"/>
    <col min="4" max="4" width="23.33203125" bestFit="1" customWidth="1"/>
    <col min="5" max="5" width="16.5546875" customWidth="1"/>
  </cols>
  <sheetData>
    <row r="1" spans="1:5" ht="22.8" customHeight="1" x14ac:dyDescent="0.4">
      <c r="A1" s="20" t="s">
        <v>13</v>
      </c>
      <c r="B1" s="20"/>
      <c r="C1" s="20"/>
      <c r="D1" s="20"/>
    </row>
    <row r="2" spans="1:5" ht="17.399999999999999" customHeight="1" x14ac:dyDescent="0.3">
      <c r="A2" s="6" t="s">
        <v>7</v>
      </c>
      <c r="B2" s="43" t="s">
        <v>4</v>
      </c>
      <c r="C2" s="43"/>
      <c r="D2" s="1"/>
    </row>
    <row r="3" spans="1:5" ht="23.4" customHeight="1" thickBot="1" x14ac:dyDescent="0.35">
      <c r="A3" s="6" t="s">
        <v>5</v>
      </c>
      <c r="B3" s="44" t="s">
        <v>34</v>
      </c>
      <c r="C3" s="44"/>
      <c r="D3" s="1"/>
    </row>
    <row r="4" spans="1:5" ht="23.4" customHeight="1" x14ac:dyDescent="0.3">
      <c r="A4" s="48" t="s">
        <v>19</v>
      </c>
      <c r="B4" s="68" t="s">
        <v>31</v>
      </c>
      <c r="C4" s="45" t="s">
        <v>14</v>
      </c>
      <c r="D4" s="22"/>
      <c r="E4" s="23"/>
    </row>
    <row r="5" spans="1:5" ht="23.4" customHeight="1" x14ac:dyDescent="0.3">
      <c r="A5" s="49"/>
      <c r="B5" s="69"/>
      <c r="C5" s="46" t="s">
        <v>33</v>
      </c>
      <c r="D5" s="32"/>
      <c r="E5" s="33"/>
    </row>
    <row r="6" spans="1:5" s="8" customFormat="1" ht="13.8" x14ac:dyDescent="0.3">
      <c r="A6" s="50"/>
      <c r="B6" s="70"/>
      <c r="C6" s="51" t="s">
        <v>15</v>
      </c>
      <c r="D6" s="52" t="s">
        <v>16</v>
      </c>
      <c r="E6" s="53" t="s">
        <v>17</v>
      </c>
    </row>
    <row r="7" spans="1:5" s="5" customFormat="1" ht="20.399999999999999" customHeight="1" x14ac:dyDescent="0.3">
      <c r="A7" s="54"/>
      <c r="B7" s="71"/>
      <c r="C7" s="55" t="e" vm="1">
        <v>#VALUE!</v>
      </c>
      <c r="D7" s="56" t="e" vm="2">
        <v>#VALUE!</v>
      </c>
      <c r="E7" s="57" t="e" vm="3">
        <v>#VALUE!</v>
      </c>
    </row>
    <row r="8" spans="1:5" s="9" customFormat="1" ht="14.4" customHeight="1" x14ac:dyDescent="0.2">
      <c r="A8" s="34"/>
      <c r="B8" s="24"/>
      <c r="C8" s="47"/>
      <c r="D8" s="26"/>
      <c r="E8" s="27"/>
    </row>
    <row r="9" spans="1:5" s="9" customFormat="1" ht="14.4" customHeight="1" x14ac:dyDescent="0.2">
      <c r="A9" s="34"/>
      <c r="B9" s="42"/>
      <c r="C9" s="47"/>
      <c r="D9" s="26"/>
      <c r="E9" s="27"/>
    </row>
    <row r="10" spans="1:5" s="9" customFormat="1" ht="14.4" customHeight="1" x14ac:dyDescent="0.2">
      <c r="A10" s="35"/>
      <c r="B10" s="42"/>
      <c r="C10" s="47"/>
      <c r="D10" s="26"/>
      <c r="E10" s="27"/>
    </row>
    <row r="11" spans="1:5" s="9" customFormat="1" ht="14.4" customHeight="1" x14ac:dyDescent="0.2">
      <c r="A11" s="58"/>
      <c r="B11" s="72"/>
      <c r="C11" s="59"/>
      <c r="D11" s="60"/>
      <c r="E11" s="61"/>
    </row>
    <row r="12" spans="1:5" s="9" customFormat="1" ht="14.4" customHeight="1" x14ac:dyDescent="0.2">
      <c r="A12" s="36" t="s">
        <v>18</v>
      </c>
      <c r="B12" s="73"/>
      <c r="C12" s="24"/>
      <c r="D12" s="25"/>
      <c r="E12" s="28"/>
    </row>
    <row r="13" spans="1:5" s="3" customFormat="1" ht="22.8" customHeight="1" x14ac:dyDescent="0.25">
      <c r="A13" s="37" t="s">
        <v>24</v>
      </c>
      <c r="B13" s="65">
        <v>0.151</v>
      </c>
      <c r="C13" s="42">
        <v>3</v>
      </c>
      <c r="D13" s="40">
        <v>3</v>
      </c>
      <c r="E13" s="41">
        <v>1</v>
      </c>
    </row>
    <row r="14" spans="1:5" s="3" customFormat="1" ht="22.8" customHeight="1" x14ac:dyDescent="0.25">
      <c r="A14" s="37" t="s">
        <v>25</v>
      </c>
      <c r="B14" s="65">
        <v>0.28699999999999998</v>
      </c>
      <c r="C14" s="42">
        <v>4</v>
      </c>
      <c r="D14" s="40">
        <v>3</v>
      </c>
      <c r="E14" s="41">
        <v>2</v>
      </c>
    </row>
    <row r="15" spans="1:5" s="3" customFormat="1" ht="14.4" customHeight="1" x14ac:dyDescent="0.2">
      <c r="A15" s="36" t="s">
        <v>22</v>
      </c>
      <c r="B15" s="66"/>
      <c r="C15" s="42"/>
      <c r="D15" s="40"/>
      <c r="E15" s="41"/>
    </row>
    <row r="16" spans="1:5" s="3" customFormat="1" ht="14.4" customHeight="1" x14ac:dyDescent="0.2">
      <c r="A16" s="37" t="s">
        <v>26</v>
      </c>
      <c r="B16" s="67">
        <v>7.8E-2</v>
      </c>
      <c r="C16" s="42">
        <v>3</v>
      </c>
      <c r="D16" s="40">
        <v>4</v>
      </c>
      <c r="E16" s="41">
        <v>4</v>
      </c>
    </row>
    <row r="17" spans="1:10" s="3" customFormat="1" ht="14.4" customHeight="1" x14ac:dyDescent="0.2">
      <c r="A17" s="37" t="s">
        <v>20</v>
      </c>
      <c r="B17" s="67">
        <v>3.4000000000000002E-2</v>
      </c>
      <c r="C17" s="42">
        <v>3</v>
      </c>
      <c r="D17" s="40">
        <v>4</v>
      </c>
      <c r="E17" s="41">
        <v>5</v>
      </c>
    </row>
    <row r="18" spans="1:10" s="4" customFormat="1" ht="14.4" customHeight="1" x14ac:dyDescent="0.3">
      <c r="A18" s="37" t="s">
        <v>30</v>
      </c>
      <c r="B18" s="67">
        <v>4.1000000000000002E-2</v>
      </c>
      <c r="C18" s="42">
        <v>2</v>
      </c>
      <c r="D18" s="40">
        <v>3</v>
      </c>
      <c r="E18" s="41">
        <v>5</v>
      </c>
    </row>
    <row r="19" spans="1:10" s="3" customFormat="1" ht="14.4" customHeight="1" x14ac:dyDescent="0.2">
      <c r="A19" s="36" t="s">
        <v>23</v>
      </c>
      <c r="B19" s="67"/>
      <c r="C19" s="42"/>
      <c r="D19" s="40"/>
      <c r="E19" s="41"/>
    </row>
    <row r="20" spans="1:10" s="3" customFormat="1" ht="14.4" customHeight="1" x14ac:dyDescent="0.25">
      <c r="A20" s="38" t="s">
        <v>27</v>
      </c>
      <c r="B20" s="67">
        <v>0.20599999999999999</v>
      </c>
      <c r="C20" s="42">
        <v>4</v>
      </c>
      <c r="D20" s="40">
        <v>3</v>
      </c>
      <c r="E20" s="41">
        <v>3</v>
      </c>
    </row>
    <row r="21" spans="1:10" s="3" customFormat="1" ht="14.4" customHeight="1" x14ac:dyDescent="0.25">
      <c r="A21" s="38" t="s">
        <v>21</v>
      </c>
      <c r="B21" s="67">
        <v>0.113</v>
      </c>
      <c r="C21" s="42">
        <v>3</v>
      </c>
      <c r="D21" s="40">
        <v>3</v>
      </c>
      <c r="E21" s="41">
        <v>2</v>
      </c>
    </row>
    <row r="22" spans="1:10" s="3" customFormat="1" ht="14.4" customHeight="1" x14ac:dyDescent="0.2">
      <c r="A22" s="37" t="s">
        <v>28</v>
      </c>
      <c r="B22" s="67">
        <v>9.0999999999999998E-2</v>
      </c>
      <c r="C22" s="42">
        <v>4</v>
      </c>
      <c r="D22" s="40">
        <v>4</v>
      </c>
      <c r="E22" s="41">
        <v>5</v>
      </c>
    </row>
    <row r="23" spans="1:10" s="4" customFormat="1" x14ac:dyDescent="0.3">
      <c r="A23" s="39" t="s">
        <v>29</v>
      </c>
      <c r="B23" s="74">
        <f>SUM(B13:B22)</f>
        <v>1.0009999999999999</v>
      </c>
      <c r="C23" s="42">
        <f>SUM(C13:C22)</f>
        <v>26</v>
      </c>
      <c r="D23" s="40">
        <f>SUM(D13:D22)</f>
        <v>27</v>
      </c>
      <c r="E23" s="41">
        <f>SUM(E13:E22)</f>
        <v>27</v>
      </c>
      <c r="F23" s="30"/>
      <c r="G23" s="30"/>
      <c r="H23" s="30"/>
      <c r="I23" s="30"/>
      <c r="J23" s="30"/>
    </row>
    <row r="24" spans="1:10" s="3" customFormat="1" ht="14.4" customHeight="1" thickBot="1" x14ac:dyDescent="0.25">
      <c r="A24" s="62" t="s">
        <v>32</v>
      </c>
      <c r="B24" s="75"/>
      <c r="C24" s="76">
        <f>$B13*C13+$B14*C14+$B16*C16+$B17*C17+$B18*C18+$B20*C20+$B21*C21+$B22*C22</f>
        <v>3.5459999999999998</v>
      </c>
      <c r="D24" s="63">
        <f>$B13*D13+$B14*D14+$B16*D16+$B17*D17+$B18*D18+$B20*D20+$B21*D21+$B22*D22</f>
        <v>3.206</v>
      </c>
      <c r="E24" s="64">
        <f>$B13*E13+$B14*E14+$B16*E16+$B17*E17+$B18*E18+$B20*E20+$B21*E21+$B22*E22</f>
        <v>2.7109999999999999</v>
      </c>
      <c r="F24" s="31"/>
      <c r="G24" s="31"/>
      <c r="H24" s="31"/>
      <c r="I24" s="31"/>
      <c r="J24" s="29"/>
    </row>
    <row r="25" spans="1:10" s="3" customFormat="1" x14ac:dyDescent="0.2">
      <c r="A25" s="19"/>
      <c r="B25" s="19"/>
      <c r="C25" s="19"/>
      <c r="D25" s="19"/>
      <c r="E25" s="19"/>
      <c r="F25" s="29"/>
      <c r="G25" s="29"/>
      <c r="H25" s="29"/>
      <c r="I25" s="29"/>
      <c r="J25" s="29"/>
    </row>
    <row r="26" spans="1:10" s="3" customFormat="1" ht="14.4" customHeight="1" x14ac:dyDescent="0.2">
      <c r="A26" s="19"/>
      <c r="B26" s="19"/>
      <c r="C26" s="19"/>
      <c r="D26" s="19"/>
      <c r="E26" s="19"/>
      <c r="F26" s="29"/>
      <c r="G26" s="29"/>
      <c r="H26" s="29"/>
      <c r="I26" s="29"/>
      <c r="J26" s="29"/>
    </row>
    <row r="27" spans="1:10" s="3" customFormat="1" ht="14.4" customHeight="1" x14ac:dyDescent="0.2">
      <c r="A27" s="19"/>
      <c r="B27" s="19"/>
      <c r="C27" s="19"/>
      <c r="D27" s="19"/>
      <c r="E27" s="19"/>
    </row>
    <row r="28" spans="1:10" s="3" customFormat="1" ht="14.4" customHeight="1" x14ac:dyDescent="0.2">
      <c r="A28" s="19"/>
      <c r="B28" s="19"/>
      <c r="C28" s="19"/>
      <c r="D28" s="19"/>
      <c r="E28" s="19"/>
    </row>
    <row r="29" spans="1:10" s="3" customFormat="1" ht="14.4" customHeight="1" x14ac:dyDescent="0.2">
      <c r="A29" s="19"/>
      <c r="B29" s="19"/>
      <c r="C29" s="19"/>
      <c r="D29" s="19"/>
      <c r="E29" s="19"/>
    </row>
    <row r="30" spans="1:10" s="3" customFormat="1" ht="14.4" customHeight="1" x14ac:dyDescent="0.2">
      <c r="A30" s="19"/>
      <c r="B30" s="19"/>
      <c r="C30" s="19"/>
      <c r="D30" s="19"/>
      <c r="E30" s="19"/>
    </row>
    <row r="31" spans="1:10" s="3" customFormat="1" ht="14.4" customHeight="1" x14ac:dyDescent="0.2">
      <c r="A31" s="19"/>
      <c r="B31" s="19"/>
      <c r="C31" s="19"/>
      <c r="D31" s="19"/>
      <c r="E31" s="19"/>
    </row>
    <row r="32" spans="1:10" s="4" customFormat="1" ht="14.4" customHeight="1" x14ac:dyDescent="0.3">
      <c r="A32" s="19"/>
      <c r="B32" s="19"/>
      <c r="C32" s="19"/>
      <c r="D32" s="19"/>
      <c r="E32" s="19"/>
    </row>
    <row r="33" spans="1:5" s="3" customFormat="1" ht="14.4" customHeight="1" x14ac:dyDescent="0.2">
      <c r="A33" s="19"/>
      <c r="B33" s="19"/>
      <c r="C33" s="19"/>
      <c r="D33" s="19"/>
      <c r="E33" s="19"/>
    </row>
    <row r="34" spans="1:5" s="3" customFormat="1" ht="14.4" customHeight="1" x14ac:dyDescent="0.2">
      <c r="A34" s="19"/>
      <c r="B34" s="19"/>
      <c r="C34" s="19"/>
      <c r="D34" s="19"/>
      <c r="E34" s="19"/>
    </row>
    <row r="35" spans="1:5" s="3" customFormat="1" ht="14.4" customHeight="1" x14ac:dyDescent="0.2">
      <c r="A35" s="19"/>
      <c r="B35" s="19"/>
      <c r="C35" s="19"/>
      <c r="D35" s="19"/>
      <c r="E35" s="19"/>
    </row>
    <row r="36" spans="1:5" s="3" customFormat="1" ht="14.4" customHeight="1" x14ac:dyDescent="0.2">
      <c r="A36" s="19"/>
      <c r="B36" s="19"/>
      <c r="C36" s="19"/>
      <c r="D36" s="19"/>
      <c r="E36" s="19"/>
    </row>
    <row r="37" spans="1:5" s="3" customFormat="1" ht="14.4" customHeight="1" x14ac:dyDescent="0.2">
      <c r="A37" s="19"/>
      <c r="B37" s="19"/>
      <c r="C37" s="19"/>
      <c r="D37" s="19"/>
      <c r="E37" s="19"/>
    </row>
    <row r="38" spans="1:5" s="3" customFormat="1" ht="14.4" customHeight="1" x14ac:dyDescent="0.2">
      <c r="A38" s="19"/>
      <c r="B38" s="19"/>
      <c r="C38" s="19"/>
      <c r="D38" s="19"/>
      <c r="E38" s="19"/>
    </row>
    <row r="39" spans="1:5" s="3" customFormat="1" ht="14.4" customHeight="1" x14ac:dyDescent="0.2">
      <c r="A39" s="19"/>
      <c r="B39" s="19"/>
      <c r="C39" s="19"/>
      <c r="D39" s="19"/>
      <c r="E39" s="19"/>
    </row>
    <row r="40" spans="1:5" s="3" customFormat="1" ht="14.4" customHeight="1" x14ac:dyDescent="0.2">
      <c r="A40" s="19"/>
      <c r="B40" s="19"/>
      <c r="C40" s="19"/>
      <c r="D40" s="19"/>
      <c r="E40" s="19"/>
    </row>
    <row r="41" spans="1:5" s="4" customFormat="1" ht="14.4" customHeight="1" x14ac:dyDescent="0.3">
      <c r="A41" s="19"/>
      <c r="B41" s="19"/>
      <c r="C41" s="19"/>
      <c r="D41" s="19"/>
      <c r="E41" s="19"/>
    </row>
    <row r="42" spans="1:5" s="3" customFormat="1" ht="14.4" customHeight="1" x14ac:dyDescent="0.2">
      <c r="A42" s="19"/>
      <c r="B42" s="19"/>
      <c r="C42" s="19"/>
      <c r="D42" s="19"/>
      <c r="E42" s="19"/>
    </row>
    <row r="43" spans="1:5" s="3" customFormat="1" ht="14.4" customHeight="1" x14ac:dyDescent="0.2">
      <c r="A43" s="19"/>
      <c r="B43" s="19"/>
      <c r="C43" s="19"/>
      <c r="D43" s="19"/>
      <c r="E43" s="19"/>
    </row>
    <row r="44" spans="1:5" s="3" customFormat="1" ht="14.4" customHeight="1" x14ac:dyDescent="0.2">
      <c r="A44" s="19"/>
      <c r="B44" s="19"/>
      <c r="C44" s="19"/>
      <c r="D44" s="19"/>
      <c r="E44" s="19"/>
    </row>
    <row r="45" spans="1:5" s="3" customFormat="1" ht="14.4" customHeight="1" x14ac:dyDescent="0.2">
      <c r="A45" s="19"/>
      <c r="B45" s="19"/>
      <c r="C45" s="19"/>
      <c r="D45" s="19"/>
      <c r="E45" s="19"/>
    </row>
    <row r="46" spans="1:5" s="3" customFormat="1" ht="14.4" customHeight="1" x14ac:dyDescent="0.2">
      <c r="A46" s="19"/>
      <c r="B46" s="19"/>
      <c r="C46" s="19"/>
      <c r="D46" s="19"/>
      <c r="E46" s="19"/>
    </row>
    <row r="47" spans="1:5" s="3" customFormat="1" ht="19.8" customHeight="1" x14ac:dyDescent="0.2">
      <c r="A47" s="19"/>
      <c r="B47" s="19"/>
      <c r="C47" s="19"/>
      <c r="D47" s="19"/>
      <c r="E47" s="19"/>
    </row>
    <row r="48" spans="1:5" s="3" customFormat="1" ht="14.4" customHeight="1" x14ac:dyDescent="0.2">
      <c r="A48" s="19"/>
      <c r="B48" s="19"/>
      <c r="C48" s="19"/>
      <c r="D48" s="19"/>
      <c r="E48" s="19"/>
    </row>
    <row r="49" spans="1:5" x14ac:dyDescent="0.3">
      <c r="A49" s="19"/>
      <c r="B49" s="19"/>
      <c r="C49" s="19"/>
      <c r="D49" s="19"/>
      <c r="E49" s="19"/>
    </row>
    <row r="50" spans="1:5" x14ac:dyDescent="0.3">
      <c r="A50" s="19"/>
      <c r="B50" s="19"/>
      <c r="C50" s="19"/>
      <c r="D50" s="19"/>
      <c r="E50" s="19"/>
    </row>
    <row r="51" spans="1:5" x14ac:dyDescent="0.3">
      <c r="A51" s="19"/>
      <c r="B51" s="19"/>
      <c r="C51" s="19"/>
      <c r="D51" s="19"/>
      <c r="E51" s="19"/>
    </row>
    <row r="52" spans="1:5" x14ac:dyDescent="0.3">
      <c r="A52" s="19"/>
      <c r="B52" s="19"/>
      <c r="C52" s="19"/>
      <c r="D52" s="19"/>
      <c r="E52" s="19"/>
    </row>
    <row r="53" spans="1:5" x14ac:dyDescent="0.3">
      <c r="A53" s="19"/>
      <c r="B53" s="19"/>
      <c r="C53" s="19"/>
      <c r="D53" s="19"/>
      <c r="E53" s="19"/>
    </row>
    <row r="54" spans="1:5" x14ac:dyDescent="0.3">
      <c r="A54" s="19"/>
      <c r="B54" s="19"/>
      <c r="C54" s="19"/>
      <c r="D54" s="19"/>
      <c r="E54" s="19"/>
    </row>
    <row r="55" spans="1:5" x14ac:dyDescent="0.3">
      <c r="A55" s="19"/>
      <c r="B55" s="19"/>
      <c r="C55" s="19"/>
      <c r="D55" s="19"/>
      <c r="E55" s="19"/>
    </row>
  </sheetData>
  <mergeCells count="10">
    <mergeCell ref="A4:A6"/>
    <mergeCell ref="B4:B6"/>
    <mergeCell ref="B2:C2"/>
    <mergeCell ref="B3:C3"/>
    <mergeCell ref="C4:E4"/>
    <mergeCell ref="C7:C11"/>
    <mergeCell ref="D7:D11"/>
    <mergeCell ref="E7:E11"/>
    <mergeCell ref="A1:D1"/>
    <mergeCell ref="C5:E5"/>
  </mergeCells>
  <conditionalFormatting sqref="C13:E22">
    <cfRule type="cellIs" dxfId="4" priority="1" operator="equal">
      <formula>4</formula>
    </cfRule>
    <cfRule type="cellIs" dxfId="3" priority="2" operator="equal">
      <formula>2</formula>
    </cfRule>
    <cfRule type="cellIs" dxfId="2" priority="3" operator="equal">
      <formula>1</formula>
    </cfRule>
    <cfRule type="cellIs" dxfId="1" priority="4" operator="equal">
      <formula>3</formula>
    </cfRule>
    <cfRule type="cellIs" dxfId="0" priority="5" operator="equal">
      <formula>5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3159CD7C61FBF4E81B0D02C7A820864" ma:contentTypeVersion="10" ma:contentTypeDescription="Ein neues Dokument erstellen." ma:contentTypeScope="" ma:versionID="e9e15dc1abf214f5686e00cc69046ecf">
  <xsd:schema xmlns:xsd="http://www.w3.org/2001/XMLSchema" xmlns:xs="http://www.w3.org/2001/XMLSchema" xmlns:p="http://schemas.microsoft.com/office/2006/metadata/properties" xmlns:ns2="5c4d44cf-5382-436a-87fc-0d9f6bbfa86f" xmlns:ns3="e54b10f4-aba0-42a3-ad30-edd8ed3b3d4f" targetNamespace="http://schemas.microsoft.com/office/2006/metadata/properties" ma:root="true" ma:fieldsID="0230f398dd6fa525d9ea4388225b0a94" ns2:_="" ns3:_="">
    <xsd:import namespace="5c4d44cf-5382-436a-87fc-0d9f6bbfa86f"/>
    <xsd:import namespace="e54b10f4-aba0-42a3-ad30-edd8ed3b3d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d44cf-5382-436a-87fc-0d9f6bbfa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eba9a44-1fcf-4f77-8e41-f993d1705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b10f4-aba0-42a3-ad30-edd8ed3b3d4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097bff-825a-4448-a078-6d8a53f3aa1f}" ma:internalName="TaxCatchAll" ma:showField="CatchAllData" ma:web="e54b10f4-aba0-42a3-ad30-edd8ed3b3d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d44cf-5382-436a-87fc-0d9f6bbfa86f">
      <Terms xmlns="http://schemas.microsoft.com/office/infopath/2007/PartnerControls"/>
    </lcf76f155ced4ddcb4097134ff3c332f>
    <TaxCatchAll xmlns="e54b10f4-aba0-42a3-ad30-edd8ed3b3d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4B473-B81A-4F9C-A10E-BCC96B427FBF}"/>
</file>

<file path=customXml/itemProps2.xml><?xml version="1.0" encoding="utf-8"?>
<ds:datastoreItem xmlns:ds="http://schemas.openxmlformats.org/officeDocument/2006/customXml" ds:itemID="{FF0D10EB-93C5-4D40-82AB-D74AF77757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96B4D2-EF2E-45F7-9486-0DAB19E02E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</vt:lpstr>
      <vt:lpstr>Trade-Off-Matrix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[EXTERNAL] Artjom Lukanowski</dc:creator>
  <cp:lastModifiedBy>[EXTERNAL] Artjom Lukanowski</cp:lastModifiedBy>
  <dcterms:created xsi:type="dcterms:W3CDTF">2015-06-05T18:17:20Z</dcterms:created>
  <dcterms:modified xsi:type="dcterms:W3CDTF">2026-03-13T13:14:49Z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0x01010093159CD7C61FBF4E81B0D02C7A820864</vt:lpwstr>
  </property>
  <property fmtid="{D5CDD505-2E9C-101B-9397-08002B2CF9AE}" pid="3" name="MSIP_Label_8d1420bb-738d-4386-a42f-ad19d7043110_Enabled">
    <vt:lpwstr>true</vt:lpwstr>
  </property>
  <property fmtid="{D5CDD505-2E9C-101B-9397-08002B2CF9AE}" pid="4" name="MSIP_Label_8d1420bb-738d-4386-a42f-ad19d7043110_SetDate">
    <vt:lpwstr>2026-03-06T08:26:40Z</vt:lpwstr>
  </property>
  <property fmtid="{D5CDD505-2E9C-101B-9397-08002B2CF9AE}" pid="5" name="MSIP_Label_8d1420bb-738d-4386-a42f-ad19d7043110_Method">
    <vt:lpwstr>Standard</vt:lpwstr>
  </property>
  <property fmtid="{D5CDD505-2E9C-101B-9397-08002B2CF9AE}" pid="6" name="MSIP_Label_8d1420bb-738d-4386-a42f-ad19d7043110_Name">
    <vt:lpwstr>Internal</vt:lpwstr>
  </property>
  <property fmtid="{D5CDD505-2E9C-101B-9397-08002B2CF9AE}" pid="7" name="MSIP_Label_8d1420bb-738d-4386-a42f-ad19d7043110_SiteId">
    <vt:lpwstr>c6140e09-47b8-4c97-a12c-cffb12a150ba</vt:lpwstr>
  </property>
  <property fmtid="{D5CDD505-2E9C-101B-9397-08002B2CF9AE}" pid="8" name="MSIP_Label_8d1420bb-738d-4386-a42f-ad19d7043110_ActionId">
    <vt:lpwstr>ea059962-694a-44d3-92af-f869f415de4c</vt:lpwstr>
  </property>
  <property fmtid="{D5CDD505-2E9C-101B-9397-08002B2CF9AE}" pid="9" name="MSIP_Label_8d1420bb-738d-4386-a42f-ad19d7043110_ContentBits">
    <vt:lpwstr>3</vt:lpwstr>
  </property>
  <property fmtid="{D5CDD505-2E9C-101B-9397-08002B2CF9AE}" pid="10" name="MSIP_Label_8d1420bb-738d-4386-a42f-ad19d7043110_Tag">
    <vt:lpwstr>10, 3, 0, 1</vt:lpwstr>
  </property>
</Properties>
</file>